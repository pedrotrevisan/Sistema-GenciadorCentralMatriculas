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sesibahia-my.sharepoint.com/personal/pedro_passos_fieb_org_br/Documents/Área de Trabalho/"/>
    </mc:Choice>
  </mc:AlternateContent>
  <xr:revisionPtr revIDLastSave="0" documentId="8_{C5F155BC-B83E-48BD-A2C3-71F28A35F1D3}" xr6:coauthVersionLast="47" xr6:coauthVersionMax="47" xr10:uidLastSave="{00000000-0000-0000-0000-000000000000}"/>
  <bookViews>
    <workbookView xWindow="-120" yWindow="-120" windowWidth="29040" windowHeight="15720" tabRatio="453" xr2:uid="{00000000-000D-0000-FFFF-FFFF00000000}"/>
  </bookViews>
  <sheets>
    <sheet name="PAGANTE" sheetId="16" r:id="rId1"/>
    <sheet name="BOLSISTA" sheetId="21" r:id="rId2"/>
    <sheet name="QUANTITATIVOS DE MATRICULAS" sheetId="15" r:id="rId3"/>
    <sheet name="Planilha2" sheetId="20" r:id="rId4"/>
    <sheet name="CAI" sheetId="22" r:id="rId5"/>
    <sheet name="Alunos bolsistas" sheetId="17" state="hidden" r:id="rId6"/>
    <sheet name="Anotações diversas" sheetId="18" state="hidden" r:id="rId7"/>
    <sheet name="Listas" sheetId="19" state="hidden" r:id="rId8"/>
    <sheet name="CAI-TEC - SEMIPRESENCIAL-1º MÓD" sheetId="12" state="hidden" r:id="rId9"/>
    <sheet name="PADRÃO TURMAS -20252" sheetId="11" state="hidden" r:id="rId10"/>
    <sheet name="Anexo I PRESENCIAL (2)" sheetId="6" state="hidden" r:id="rId11"/>
    <sheet name="Anexo II SEMIPRESENCIAL (2)" sheetId="9" state="hidden" r:id="rId12"/>
  </sheets>
  <definedNames>
    <definedName name="_xlnm._FilterDatabase" localSheetId="10" hidden="1">'Anexo I PRESENCIAL (2)'!$A$2:$AC$64</definedName>
    <definedName name="_xlnm._FilterDatabase" localSheetId="11" hidden="1">'Anexo II SEMIPRESENCIAL (2)'!$A$2:$O$2</definedName>
    <definedName name="_xlnm._FilterDatabase" localSheetId="1" hidden="1">BOLSISTA!$A$1:$AW$98</definedName>
    <definedName name="_xlnm._FilterDatabase" localSheetId="4" hidden="1">CAI!$A$1:$V$28</definedName>
    <definedName name="_xlnm._FilterDatabase" localSheetId="8" hidden="1">'CAI-TEC - SEMIPRESENCIAL-1º MÓD'!$A$3:$T$78</definedName>
    <definedName name="_xlnm._FilterDatabase" localSheetId="9" hidden="1">'PADRÃO TURMAS -20252'!$A$2:$E$2</definedName>
    <definedName name="_xlnm._FilterDatabase" localSheetId="0" hidden="1">PAGANTE!$A$1:$S$296</definedName>
    <definedName name="_xlnm._FilterDatabase" localSheetId="2" hidden="1">'QUANTITATIVOS DE MATRICULAS'!$A$1:$P$13</definedName>
    <definedName name="área" localSheetId="10">#REF!</definedName>
    <definedName name="área" localSheetId="11">#REF!</definedName>
    <definedName name="área" localSheetId="8">#REF!</definedName>
    <definedName name="área" localSheetId="2">#REF!</definedName>
    <definedName name="área">#REF!</definedName>
    <definedName name="cursos" localSheetId="10">#REF!</definedName>
    <definedName name="cursos" localSheetId="11">#REF!</definedName>
    <definedName name="cursos" localSheetId="8">#REF!</definedName>
    <definedName name="cursos" localSheetId="2">#REF!</definedName>
    <definedName name="cursos">#REF!</definedName>
    <definedName name="OK">#REF!</definedName>
    <definedName name="OKVF">#REF!</definedName>
    <definedName name="QUALIDADE">#REF!</definedName>
    <definedName name="_xlnm.Print_Titles" localSheetId="10">'Anexo I PRESENCIAL (2)'!$1:$2</definedName>
    <definedName name="_xlnm.Print_Titles" localSheetId="11">'Anexo II SEMIPRESENCIAL (2)'!$1:$2</definedName>
    <definedName name="_xlnm.Print_Titles" localSheetId="8">'CAI-TEC - SEMIPRESENCIAL-1º MÓD'!$3:$4</definedName>
    <definedName name="_xlnm.Print_Titles" localSheetId="2">'QUANTITATIVOS DE MATRICULAS'!$1:$3</definedName>
    <definedName name="unidadelocal" localSheetId="10">#REF!</definedName>
    <definedName name="unidadelocal" localSheetId="11">#REF!</definedName>
    <definedName name="unidadelocal" localSheetId="8">#REF!</definedName>
    <definedName name="unidadelocal" localSheetId="2">#REF!</definedName>
    <definedName name="unidadelocal">#REF!</definedName>
    <definedName name="unidaderegional" localSheetId="10">#REF!</definedName>
    <definedName name="unidaderegional" localSheetId="11">#REF!</definedName>
    <definedName name="unidaderegional" localSheetId="8">#REF!</definedName>
    <definedName name="unidaderegional" localSheetId="2">#REF!</definedName>
    <definedName name="unidaderegional">#REF!</definedName>
  </definedNames>
  <calcPr calcId="191028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5" l="1"/>
  <c r="G14" i="15"/>
  <c r="E14" i="15"/>
  <c r="F14" i="15"/>
  <c r="K14" i="15"/>
  <c r="L14" i="15"/>
  <c r="I13" i="15"/>
  <c r="S73" i="12"/>
  <c r="S71" i="12"/>
  <c r="S70" i="12"/>
  <c r="S69" i="12"/>
  <c r="S67" i="12"/>
  <c r="S66" i="12"/>
  <c r="S64" i="12"/>
  <c r="S63" i="12"/>
  <c r="S62" i="12"/>
  <c r="S61" i="12"/>
  <c r="S60" i="12"/>
  <c r="S59" i="12"/>
  <c r="S58" i="12"/>
  <c r="S56" i="12"/>
  <c r="S55" i="12"/>
  <c r="S54" i="12"/>
  <c r="S52" i="12"/>
  <c r="S51" i="12"/>
  <c r="S50" i="12"/>
  <c r="S49" i="12"/>
  <c r="S48" i="12"/>
  <c r="S47" i="12"/>
  <c r="S45" i="12"/>
  <c r="S44" i="12"/>
  <c r="S43" i="12"/>
  <c r="S42" i="12"/>
  <c r="S41" i="12"/>
  <c r="S40" i="12"/>
  <c r="S38" i="12"/>
  <c r="S36" i="12"/>
  <c r="S34" i="12"/>
  <c r="S33" i="12"/>
  <c r="S32" i="12"/>
  <c r="S31" i="12"/>
  <c r="S30" i="12"/>
  <c r="S28" i="12"/>
  <c r="S27" i="12"/>
  <c r="S26" i="12"/>
  <c r="S25" i="12"/>
  <c r="S24" i="12"/>
  <c r="S23" i="12"/>
  <c r="S22" i="12"/>
  <c r="S20" i="12"/>
  <c r="S19" i="12"/>
  <c r="S18" i="12"/>
  <c r="S17" i="12"/>
  <c r="S16" i="12"/>
  <c r="S15" i="12"/>
  <c r="S13" i="12"/>
  <c r="S12" i="12"/>
  <c r="S10" i="12"/>
  <c r="S9" i="12"/>
  <c r="S8" i="12"/>
  <c r="S7" i="12"/>
  <c r="S6" i="12"/>
  <c r="S5" i="12"/>
  <c r="I11" i="15" l="1"/>
  <c r="J13" i="15"/>
  <c r="I7" i="15"/>
  <c r="E35" i="9"/>
  <c r="D35" i="9"/>
  <c r="C35" i="9" s="1"/>
  <c r="N34" i="9"/>
  <c r="H34" i="9" s="1"/>
  <c r="C34" i="9"/>
  <c r="G33" i="9"/>
  <c r="N33" i="9" s="1"/>
  <c r="H33" i="9" s="1"/>
  <c r="C33" i="9"/>
  <c r="N32" i="9"/>
  <c r="H32" i="9" s="1"/>
  <c r="C32" i="9"/>
  <c r="N31" i="9"/>
  <c r="H31" i="9" s="1"/>
  <c r="I31" i="9" s="1"/>
  <c r="C31" i="9"/>
  <c r="E30" i="9"/>
  <c r="C30" i="9" s="1"/>
  <c r="D30" i="9"/>
  <c r="N29" i="9"/>
  <c r="H29" i="9" s="1"/>
  <c r="C29" i="9"/>
  <c r="N28" i="9"/>
  <c r="H28" i="9"/>
  <c r="J28" i="9" s="1"/>
  <c r="C28" i="9"/>
  <c r="N27" i="9"/>
  <c r="H27" i="9" s="1"/>
  <c r="J27" i="9" s="1"/>
  <c r="C27" i="9"/>
  <c r="E26" i="9"/>
  <c r="D26" i="9"/>
  <c r="N25" i="9"/>
  <c r="H25" i="9" s="1"/>
  <c r="C25" i="9"/>
  <c r="E24" i="9"/>
  <c r="D24" i="9"/>
  <c r="C24" i="9"/>
  <c r="N23" i="9"/>
  <c r="H23" i="9" s="1"/>
  <c r="C23" i="9"/>
  <c r="E22" i="9"/>
  <c r="D22" i="9"/>
  <c r="C22" i="9" s="1"/>
  <c r="N21" i="9"/>
  <c r="H21" i="9"/>
  <c r="J21" i="9" s="1"/>
  <c r="C21" i="9"/>
  <c r="N20" i="9"/>
  <c r="H20" i="9" s="1"/>
  <c r="J20" i="9" s="1"/>
  <c r="C20" i="9"/>
  <c r="N19" i="9"/>
  <c r="H19" i="9"/>
  <c r="J19" i="9" s="1"/>
  <c r="C19" i="9"/>
  <c r="N18" i="9"/>
  <c r="H18" i="9" s="1"/>
  <c r="C18" i="9"/>
  <c r="N17" i="9"/>
  <c r="H17" i="9" s="1"/>
  <c r="C17" i="9"/>
  <c r="G16" i="9"/>
  <c r="N16" i="9" s="1"/>
  <c r="H16" i="9" s="1"/>
  <c r="C16" i="9"/>
  <c r="N15" i="9"/>
  <c r="H15" i="9" s="1"/>
  <c r="C15" i="9"/>
  <c r="N14" i="9"/>
  <c r="H14" i="9" s="1"/>
  <c r="J14" i="9" s="1"/>
  <c r="C14" i="9"/>
  <c r="E13" i="9"/>
  <c r="D13" i="9"/>
  <c r="C13" i="9" s="1"/>
  <c r="N12" i="9"/>
  <c r="H12" i="9" s="1"/>
  <c r="C12" i="9"/>
  <c r="N11" i="9"/>
  <c r="H11" i="9" s="1"/>
  <c r="C11" i="9"/>
  <c r="N10" i="9"/>
  <c r="H10" i="9" s="1"/>
  <c r="I10" i="9" s="1"/>
  <c r="C10" i="9"/>
  <c r="E9" i="9"/>
  <c r="D9" i="9"/>
  <c r="C9" i="9" s="1"/>
  <c r="N8" i="9"/>
  <c r="H8" i="9" s="1"/>
  <c r="C8" i="9"/>
  <c r="N7" i="9"/>
  <c r="H7" i="9" s="1"/>
  <c r="C7" i="9"/>
  <c r="N6" i="9"/>
  <c r="H6" i="9"/>
  <c r="J6" i="9" s="1"/>
  <c r="C6" i="9"/>
  <c r="N5" i="9"/>
  <c r="H5" i="9" s="1"/>
  <c r="J5" i="9" s="1"/>
  <c r="C5" i="9"/>
  <c r="N4" i="9"/>
  <c r="H4" i="9"/>
  <c r="J4" i="9" s="1"/>
  <c r="C4" i="9"/>
  <c r="N3" i="9"/>
  <c r="H3" i="9" s="1"/>
  <c r="C3" i="9"/>
  <c r="I2" i="9"/>
  <c r="H2" i="9"/>
  <c r="D20" i="6"/>
  <c r="D19" i="6"/>
  <c r="D21" i="6"/>
  <c r="D31" i="6"/>
  <c r="N64" i="6"/>
  <c r="O64" i="6" s="1"/>
  <c r="N63" i="6"/>
  <c r="O63" i="6" s="1"/>
  <c r="N62" i="6"/>
  <c r="O62" i="6" s="1"/>
  <c r="N61" i="6"/>
  <c r="O61" i="6" s="1"/>
  <c r="N60" i="6"/>
  <c r="O60" i="6" s="1"/>
  <c r="F60" i="6"/>
  <c r="E60" i="6"/>
  <c r="Q59" i="6"/>
  <c r="H59" i="6" s="1"/>
  <c r="N59" i="6"/>
  <c r="O59" i="6" s="1"/>
  <c r="D59" i="6"/>
  <c r="Q58" i="6"/>
  <c r="H58" i="6" s="1"/>
  <c r="D58" i="6"/>
  <c r="F57" i="6"/>
  <c r="E57" i="6"/>
  <c r="D57" i="6" s="1"/>
  <c r="Q56" i="6"/>
  <c r="H56" i="6" s="1"/>
  <c r="D56" i="6"/>
  <c r="Q55" i="6"/>
  <c r="H55" i="6" s="1"/>
  <c r="D55" i="6"/>
  <c r="N54" i="6"/>
  <c r="O54" i="6" s="1"/>
  <c r="F54" i="6"/>
  <c r="E54" i="6"/>
  <c r="Q53" i="6"/>
  <c r="H53" i="6" s="1"/>
  <c r="I53" i="6" s="1"/>
  <c r="D53" i="6"/>
  <c r="N52" i="6"/>
  <c r="O52" i="6" s="1"/>
  <c r="F52" i="6"/>
  <c r="E52" i="6"/>
  <c r="Q51" i="6"/>
  <c r="H51" i="6" s="1"/>
  <c r="N51" i="6"/>
  <c r="O51" i="6" s="1"/>
  <c r="D51" i="6"/>
  <c r="Q50" i="6"/>
  <c r="H50" i="6" s="1"/>
  <c r="J50" i="6" s="1"/>
  <c r="D50" i="6"/>
  <c r="Q49" i="6"/>
  <c r="H49" i="6" s="1"/>
  <c r="D49" i="6"/>
  <c r="Q48" i="6"/>
  <c r="H48" i="6" s="1"/>
  <c r="D48" i="6"/>
  <c r="Q47" i="6"/>
  <c r="H47" i="6" s="1"/>
  <c r="D47" i="6"/>
  <c r="Q46" i="6"/>
  <c r="H46" i="6" s="1"/>
  <c r="N46" i="6"/>
  <c r="O46" i="6" s="1"/>
  <c r="D46" i="6"/>
  <c r="Q45" i="6"/>
  <c r="H45" i="6" s="1"/>
  <c r="J45" i="6" s="1"/>
  <c r="N45" i="6"/>
  <c r="O45" i="6" s="1"/>
  <c r="D45" i="6"/>
  <c r="Q44" i="6"/>
  <c r="H44" i="6" s="1"/>
  <c r="L44" i="6"/>
  <c r="N44" i="6" s="1"/>
  <c r="O44" i="6" s="1"/>
  <c r="D44" i="6"/>
  <c r="Q43" i="6"/>
  <c r="N43" i="6"/>
  <c r="O43" i="6" s="1"/>
  <c r="H43" i="6"/>
  <c r="J43" i="6" s="1"/>
  <c r="D43" i="6"/>
  <c r="Q42" i="6"/>
  <c r="H42" i="6" s="1"/>
  <c r="N42" i="6"/>
  <c r="O42" i="6" s="1"/>
  <c r="D42" i="6"/>
  <c r="Q41" i="6"/>
  <c r="H41" i="6" s="1"/>
  <c r="N41" i="6"/>
  <c r="O41" i="6" s="1"/>
  <c r="D41" i="6"/>
  <c r="Q40" i="6"/>
  <c r="H40" i="6" s="1"/>
  <c r="J40" i="6" s="1"/>
  <c r="N40" i="6"/>
  <c r="O40" i="6" s="1"/>
  <c r="D40" i="6"/>
  <c r="Q39" i="6"/>
  <c r="H39" i="6" s="1"/>
  <c r="N39" i="6"/>
  <c r="O39" i="6" s="1"/>
  <c r="D39" i="6"/>
  <c r="Q38" i="6"/>
  <c r="H38" i="6" s="1"/>
  <c r="N38" i="6"/>
  <c r="O38" i="6" s="1"/>
  <c r="D38" i="6"/>
  <c r="Q37" i="6"/>
  <c r="N37" i="6"/>
  <c r="O37" i="6" s="1"/>
  <c r="H37" i="6"/>
  <c r="J37" i="6" s="1"/>
  <c r="D37" i="6"/>
  <c r="G36" i="6"/>
  <c r="Q36" i="6" s="1"/>
  <c r="H36" i="6" s="1"/>
  <c r="I36" i="6" s="1"/>
  <c r="D36" i="6"/>
  <c r="Q35" i="6"/>
  <c r="H35" i="6" s="1"/>
  <c r="N35" i="6"/>
  <c r="O35" i="6" s="1"/>
  <c r="D35" i="6"/>
  <c r="Q34" i="6"/>
  <c r="H34" i="6" s="1"/>
  <c r="N34" i="6"/>
  <c r="O34" i="6" s="1"/>
  <c r="D34" i="6"/>
  <c r="Q33" i="6"/>
  <c r="N33" i="6"/>
  <c r="O33" i="6" s="1"/>
  <c r="H33" i="6"/>
  <c r="I33" i="6" s="1"/>
  <c r="D33" i="6"/>
  <c r="Q32" i="6"/>
  <c r="H32" i="6" s="1"/>
  <c r="N32" i="6"/>
  <c r="O32" i="6" s="1"/>
  <c r="D32" i="6"/>
  <c r="N31" i="6"/>
  <c r="O31" i="6" s="1"/>
  <c r="F31" i="6"/>
  <c r="E31" i="6"/>
  <c r="Q30" i="6"/>
  <c r="H30" i="6" s="1"/>
  <c r="N30" i="6"/>
  <c r="O30" i="6" s="1"/>
  <c r="D30" i="6"/>
  <c r="Q29" i="6"/>
  <c r="H29" i="6" s="1"/>
  <c r="L29" i="6"/>
  <c r="N29" i="6" s="1"/>
  <c r="O29" i="6" s="1"/>
  <c r="D29" i="6"/>
  <c r="L28" i="6"/>
  <c r="N28" i="6" s="1"/>
  <c r="Q28" i="6"/>
  <c r="H28" i="6" s="1"/>
  <c r="D28" i="6"/>
  <c r="Q27" i="6"/>
  <c r="H27" i="6" s="1"/>
  <c r="N27" i="6"/>
  <c r="O27" i="6" s="1"/>
  <c r="D27" i="6"/>
  <c r="Q26" i="6"/>
  <c r="H26" i="6" s="1"/>
  <c r="N26" i="6"/>
  <c r="O26" i="6" s="1"/>
  <c r="D26" i="6"/>
  <c r="Q25" i="6"/>
  <c r="H25" i="6" s="1"/>
  <c r="J25" i="6" s="1"/>
  <c r="N25" i="6"/>
  <c r="O25" i="6" s="1"/>
  <c r="D25" i="6"/>
  <c r="Q24" i="6"/>
  <c r="H24" i="6" s="1"/>
  <c r="N24" i="6"/>
  <c r="O24" i="6" s="1"/>
  <c r="D24" i="6"/>
  <c r="Q23" i="6"/>
  <c r="H23" i="6" s="1"/>
  <c r="N23" i="6"/>
  <c r="O23" i="6" s="1"/>
  <c r="D23" i="6"/>
  <c r="Q22" i="6"/>
  <c r="H22" i="6" s="1"/>
  <c r="N22" i="6"/>
  <c r="O22" i="6" s="1"/>
  <c r="D22" i="6"/>
  <c r="Q21" i="6"/>
  <c r="H21" i="6" s="1"/>
  <c r="N21" i="6"/>
  <c r="O21" i="6" s="1"/>
  <c r="N20" i="6"/>
  <c r="O20" i="6" s="1"/>
  <c r="F20" i="6"/>
  <c r="E20" i="6"/>
  <c r="Q19" i="6"/>
  <c r="H19" i="6" s="1"/>
  <c r="N19" i="6"/>
  <c r="O19" i="6" s="1"/>
  <c r="N18" i="6"/>
  <c r="O18" i="6" s="1"/>
  <c r="F18" i="6"/>
  <c r="E18" i="6"/>
  <c r="D18" i="6"/>
  <c r="Q17" i="6"/>
  <c r="H17" i="6" s="1"/>
  <c r="I17" i="6" s="1"/>
  <c r="L17" i="6"/>
  <c r="N17" i="6" s="1"/>
  <c r="O17" i="6" s="1"/>
  <c r="D17" i="6"/>
  <c r="Q16" i="6"/>
  <c r="H16" i="6" s="1"/>
  <c r="I16" i="6" s="1"/>
  <c r="N16" i="6"/>
  <c r="O16" i="6" s="1"/>
  <c r="D16" i="6"/>
  <c r="Q15" i="6"/>
  <c r="H15" i="6" s="1"/>
  <c r="N15" i="6"/>
  <c r="O15" i="6" s="1"/>
  <c r="D15" i="6"/>
  <c r="Q14" i="6"/>
  <c r="H14" i="6" s="1"/>
  <c r="N14" i="6"/>
  <c r="O14" i="6" s="1"/>
  <c r="D14" i="6"/>
  <c r="Q13" i="6"/>
  <c r="H13" i="6" s="1"/>
  <c r="N13" i="6"/>
  <c r="O13" i="6" s="1"/>
  <c r="D13" i="6"/>
  <c r="Q12" i="6"/>
  <c r="H12" i="6" s="1"/>
  <c r="N12" i="6"/>
  <c r="O12" i="6" s="1"/>
  <c r="D12" i="6"/>
  <c r="Q11" i="6"/>
  <c r="N11" i="6"/>
  <c r="O11" i="6" s="1"/>
  <c r="H11" i="6"/>
  <c r="J11" i="6" s="1"/>
  <c r="D11" i="6"/>
  <c r="Q10" i="6"/>
  <c r="H10" i="6" s="1"/>
  <c r="N10" i="6"/>
  <c r="O10" i="6" s="1"/>
  <c r="D10" i="6"/>
  <c r="Q9" i="6"/>
  <c r="H9" i="6" s="1"/>
  <c r="N9" i="6"/>
  <c r="O9" i="6" s="1"/>
  <c r="D9" i="6"/>
  <c r="Q8" i="6"/>
  <c r="H8" i="6" s="1"/>
  <c r="N8" i="6"/>
  <c r="O8" i="6" s="1"/>
  <c r="D8" i="6"/>
  <c r="Q7" i="6"/>
  <c r="H7" i="6" s="1"/>
  <c r="L7" i="6"/>
  <c r="N7" i="6" s="1"/>
  <c r="O7" i="6" s="1"/>
  <c r="D7" i="6"/>
  <c r="Q6" i="6"/>
  <c r="H6" i="6" s="1"/>
  <c r="J6" i="6" s="1"/>
  <c r="N6" i="6"/>
  <c r="O6" i="6" s="1"/>
  <c r="D6" i="6"/>
  <c r="Q5" i="6"/>
  <c r="H5" i="6" s="1"/>
  <c r="N5" i="6"/>
  <c r="O5" i="6" s="1"/>
  <c r="D5" i="6"/>
  <c r="Q4" i="6"/>
  <c r="H4" i="6" s="1"/>
  <c r="N4" i="6"/>
  <c r="O4" i="6" s="1"/>
  <c r="D4" i="6"/>
  <c r="Q3" i="6"/>
  <c r="H3" i="6" s="1"/>
  <c r="J3" i="6" s="1"/>
  <c r="N3" i="6"/>
  <c r="O3" i="6" s="1"/>
  <c r="D3" i="6"/>
  <c r="H2" i="6"/>
  <c r="J1" i="6"/>
  <c r="I5" i="15" l="1"/>
  <c r="J5" i="15" s="1"/>
  <c r="J7" i="15"/>
  <c r="I9" i="15"/>
  <c r="J9" i="15" s="1"/>
  <c r="J11" i="15"/>
  <c r="J15" i="9"/>
  <c r="I15" i="9"/>
  <c r="I7" i="9"/>
  <c r="J7" i="9"/>
  <c r="I29" i="9"/>
  <c r="J29" i="9"/>
  <c r="I28" i="9"/>
  <c r="C26" i="9"/>
  <c r="J18" i="9"/>
  <c r="I18" i="9"/>
  <c r="J23" i="9"/>
  <c r="I23" i="9"/>
  <c r="J32" i="9"/>
  <c r="I32" i="9"/>
  <c r="J3" i="9"/>
  <c r="I3" i="9"/>
  <c r="J11" i="9"/>
  <c r="I11" i="9"/>
  <c r="J25" i="9"/>
  <c r="I25" i="9"/>
  <c r="J33" i="9"/>
  <c r="I33" i="9"/>
  <c r="J12" i="9"/>
  <c r="I12" i="9"/>
  <c r="J16" i="9"/>
  <c r="I16" i="9"/>
  <c r="J34" i="9"/>
  <c r="I34" i="9"/>
  <c r="J8" i="9"/>
  <c r="I8" i="9"/>
  <c r="J17" i="9"/>
  <c r="I17" i="9"/>
  <c r="I5" i="9"/>
  <c r="J10" i="9"/>
  <c r="I20" i="9"/>
  <c r="J31" i="9"/>
  <c r="I6" i="9"/>
  <c r="I14" i="9"/>
  <c r="I21" i="9"/>
  <c r="I27" i="9"/>
  <c r="I4" i="9"/>
  <c r="I19" i="9"/>
  <c r="D60" i="6"/>
  <c r="I15" i="6"/>
  <c r="J15" i="6"/>
  <c r="I56" i="6"/>
  <c r="J56" i="6"/>
  <c r="J23" i="6"/>
  <c r="I23" i="6"/>
  <c r="J35" i="6"/>
  <c r="I35" i="6"/>
  <c r="I4" i="6"/>
  <c r="J4" i="6"/>
  <c r="J9" i="6"/>
  <c r="I9" i="6"/>
  <c r="O28" i="6"/>
  <c r="I43" i="6"/>
  <c r="D52" i="6"/>
  <c r="J33" i="6"/>
  <c r="D54" i="6"/>
  <c r="J28" i="6"/>
  <c r="I28" i="6"/>
  <c r="J34" i="6"/>
  <c r="I34" i="6"/>
  <c r="J59" i="6"/>
  <c r="I59" i="6"/>
  <c r="J42" i="6"/>
  <c r="I42" i="6"/>
  <c r="J14" i="6"/>
  <c r="I14" i="6"/>
  <c r="I51" i="6"/>
  <c r="J51" i="6"/>
  <c r="I55" i="6"/>
  <c r="J55" i="6"/>
  <c r="J46" i="6"/>
  <c r="I46" i="6"/>
  <c r="J5" i="6"/>
  <c r="I5" i="6"/>
  <c r="J27" i="6"/>
  <c r="I27" i="6"/>
  <c r="J58" i="6"/>
  <c r="I58" i="6"/>
  <c r="J19" i="6"/>
  <c r="I19" i="6"/>
  <c r="J8" i="6"/>
  <c r="I8" i="6"/>
  <c r="J29" i="6"/>
  <c r="I29" i="6"/>
  <c r="J32" i="6"/>
  <c r="I32" i="6"/>
  <c r="I47" i="6"/>
  <c r="J47" i="6"/>
  <c r="J7" i="6"/>
  <c r="I7" i="6"/>
  <c r="I24" i="6"/>
  <c r="J24" i="6"/>
  <c r="J10" i="6"/>
  <c r="I10" i="6"/>
  <c r="J41" i="6"/>
  <c r="I41" i="6"/>
  <c r="J48" i="6"/>
  <c r="I48" i="6"/>
  <c r="J12" i="6"/>
  <c r="I12" i="6"/>
  <c r="I26" i="6"/>
  <c r="J26" i="6"/>
  <c r="I38" i="6"/>
  <c r="J38" i="6"/>
  <c r="J44" i="6"/>
  <c r="I44" i="6"/>
  <c r="J13" i="6"/>
  <c r="I13" i="6"/>
  <c r="J39" i="6"/>
  <c r="I39" i="6"/>
  <c r="J22" i="6"/>
  <c r="I22" i="6"/>
  <c r="J30" i="6"/>
  <c r="I30" i="6"/>
  <c r="J49" i="6"/>
  <c r="I49" i="6"/>
  <c r="J21" i="6"/>
  <c r="I21" i="6"/>
  <c r="J17" i="6"/>
  <c r="J36" i="6"/>
  <c r="J53" i="6"/>
  <c r="I40" i="6"/>
  <c r="I45" i="6"/>
  <c r="I37" i="6"/>
  <c r="I25" i="6"/>
  <c r="I6" i="6"/>
  <c r="I11" i="6"/>
  <c r="J16" i="6"/>
  <c r="I50" i="6"/>
  <c r="I3" i="6"/>
  <c r="I12" i="15"/>
  <c r="J12" i="15" s="1"/>
  <c r="I10" i="15"/>
  <c r="I8" i="15"/>
  <c r="J8" i="15" s="1"/>
  <c r="I6" i="15"/>
  <c r="J6" i="15" s="1"/>
  <c r="J10" i="15" l="1"/>
  <c r="I4" i="15"/>
  <c r="J4" i="15" l="1"/>
  <c r="I14" i="15"/>
  <c r="J14" i="15"/>
  <c r="O14" i="15"/>
  <c r="P14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tc={592797B4-0546-45E7-9032-B01E69B02032}</author>
    <author>tc={6AED9352-CB2D-4887-BFF6-AD9783A56499}</author>
    <author>tc={CE31265D-BD4D-4970-91C9-77DF2834C80E}</author>
    <author>tc={F47DE5C4-E638-4F90-964E-AAF8A7F3473F}</author>
    <author>tc={A84039E3-03C7-4DED-ADBC-CFB70B353EA8}</author>
    <author>tc={C0A8026F-F1A2-44F3-A84B-D1D777A301AC}</author>
    <author>tc={4E0668B3-E79E-4971-9E86-F2AAA4CBD5C1}</author>
  </authors>
  <commentList>
    <comment ref="M28" authorId="0" shapeId="0" xr:uid="{592797B4-0546-45E7-9032-B01E69B020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Apresento atestado de conclusão ano 2025.</t>
      </text>
    </comment>
    <comment ref="M31" authorId="1" shapeId="0" xr:uid="{6AED9352-CB2D-4887-BFF6-AD9783A564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Apresento o atestado de conclusão ano 2025.</t>
      </text>
    </comment>
    <comment ref="O124" authorId="2" shapeId="0" xr:uid="{CE31265D-BD4D-4970-91C9-77DF2834C8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Cobrar o Histórico Escolar,  imagem distorcida.</t>
      </text>
    </comment>
    <comment ref="M275" authorId="3" shapeId="0" xr:uid="{F47DE5C4-E638-4F90-964E-AAF8A7F347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vaga</t>
      </text>
    </comment>
    <comment ref="M276" authorId="4" shapeId="0" xr:uid="{A84039E3-03C7-4DED-ADBC-CFB70B353E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vaga</t>
      </text>
    </comment>
    <comment ref="M278" authorId="5" shapeId="0" xr:uid="{C0A8026F-F1A2-44F3-A84B-D1D777A301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vaga</t>
      </text>
    </comment>
    <comment ref="M280" authorId="6" shapeId="0" xr:uid="{4E0668B3-E79E-4971-9E86-F2AAA4CBD5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vaga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tc={B5378875-EB58-45FA-999B-14087935E47E}</author>
    <author>NAIARA Santos Souza Xavier</author>
    <author>tc={38F5A438-71A7-40CD-9CDC-E9C0FC85B6D1}</author>
    <author>tc={E7BA5649-57E7-43C9-8F6A-251455A6BA51}</author>
    <author>tc={0484141B-AB7F-40EC-B466-8A96B74E4E8A}</author>
    <author>tc={2A56A8F7-341F-43A5-A5DD-2F7535A4D4B8}</author>
    <author>tc={0A4E0AEF-B57D-47E0-A8F4-0E842D72BF2F}</author>
    <author>tc={F0388F83-820B-4635-9EF4-B290AA05BCCC}</author>
    <author>tc={CB4F595C-AD42-4C7C-AA7E-6DA5B5ED0839}</author>
  </authors>
  <commentList>
    <comment ref="G3" authorId="0" shapeId="0" xr:uid="{B5378875-EB58-45FA-999B-14087935E4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Somente o 1ª Módulo é o período letivo 20252C, os demais Módulos será: 2ª - 20261; 3ª -20262; 4ª - 20271</t>
      </text>
    </comment>
    <comment ref="G5" authorId="1" shapeId="0" xr:uid="{04CF0BF8-424D-4B9D-A105-C49E2295D959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E6" authorId="2" shapeId="0" xr:uid="{38F5A438-71A7-40CD-9CDC-E9C0FC85B6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a Matriz ou plano do curso para realizar o cadastro no TOTVS. Enviaremos posteriormente</t>
      </text>
    </comment>
    <comment ref="G6" authorId="1" shapeId="0" xr:uid="{6DE726A1-17F2-483E-90F1-5331C597E748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7" authorId="1" shapeId="0" xr:uid="{70E43F8C-BDE9-4634-8439-C8380395DA08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8" authorId="1" shapeId="0" xr:uid="{1B834E7E-5D5E-4954-8049-7AA3F24E1B0B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9" authorId="1" shapeId="0" xr:uid="{9A2A9EC1-DCA7-4A15-ABA1-5EC799566BBE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10" authorId="1" shapeId="0" xr:uid="{5042D4F7-58EC-4BD0-9222-ABB02EAC7B2E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12" authorId="1" shapeId="0" xr:uid="{F2FADA9E-80DE-47FA-B9F4-E36F818FB5FD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13" authorId="1" shapeId="0" xr:uid="{1331CDF4-E142-4BD9-98E5-6EB325AA500A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15" authorId="1" shapeId="0" xr:uid="{18497431-4335-480C-87EC-47A7C82D1783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16" authorId="1" shapeId="0" xr:uid="{42C88A1B-35D0-47B7-9BBE-D66D684277C9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17" authorId="1" shapeId="0" xr:uid="{34279B7B-3E32-48C0-A69F-C45B95D6F2DF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18" authorId="1" shapeId="0" xr:uid="{5BD932B1-157E-444D-9DED-9E4B60EE7F9C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19" authorId="1" shapeId="0" xr:uid="{6808D3DF-FBA6-4C72-8F28-8FC3103D34B3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20" authorId="1" shapeId="0" xr:uid="{6C070B5A-447C-4F25-B90F-8D41DB24A231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22" authorId="1" shapeId="0" xr:uid="{B9288369-233E-48F9-B9B5-247E950D68A0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E23" authorId="3" shapeId="0" xr:uid="{E7BA5649-57E7-43C9-8F6A-251455A6BA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a Matriz ou plano do curso para realizar o cadastro no TOTVS. Enviaremos posteriormente</t>
      </text>
    </comment>
    <comment ref="G23" authorId="1" shapeId="0" xr:uid="{C4C66BAE-5D30-4A3C-A045-9C127F019C32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24" authorId="1" shapeId="0" xr:uid="{491F38E8-89A1-4C12-821C-B3EB4374D675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25" authorId="1" shapeId="0" xr:uid="{A3E54A1D-709E-47B9-954F-FB31A59A0707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26" authorId="1" shapeId="0" xr:uid="{F379837D-9A0E-4653-A29A-D468067E0837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27" authorId="1" shapeId="0" xr:uid="{E210CF56-CB11-424A-B71F-22BB1E5EC9C4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28" authorId="1" shapeId="0" xr:uid="{22B215C4-1B76-4537-BA39-51F0C6DD5B02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E30" authorId="4" shapeId="0" xr:uid="{0484141B-AB7F-40EC-B466-8A96B74E4E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a Matriz ou plano do curso para realizar o cadastro no TOTVS. Enviaremos posteriormente</t>
      </text>
    </comment>
    <comment ref="G30" authorId="1" shapeId="0" xr:uid="{85A0A6D6-0EA0-407B-941F-D43364718A71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31" authorId="1" shapeId="0" xr:uid="{B084C6FF-1D77-47EE-ABB5-39BEF940E694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32" authorId="1" shapeId="0" xr:uid="{F1B53323-97E2-49A2-9B0F-ABD3FAFF1053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33" authorId="1" shapeId="0" xr:uid="{8F6AD0AB-4A6D-420E-ADD9-EA63ADFDAF64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34" authorId="1" shapeId="0" xr:uid="{897B292E-399F-43BF-88B7-542A5D3E20E0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36" authorId="1" shapeId="0" xr:uid="{53AE35D0-DA2B-4231-9ADD-B94FEB9CFED7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38" authorId="1" shapeId="0" xr:uid="{C1624494-DA3C-4DF8-9A67-FE524C12FB54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40" authorId="1" shapeId="0" xr:uid="{44AFF8A6-A15A-4428-95A7-ECA3C674F044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E41" authorId="5" shapeId="0" xr:uid="{2A56A8F7-341F-43A5-A5DD-2F7535A4D4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a Matriz ou plano do curso para realizar o cadastro no TOTVS. Enviaremos posteriormente</t>
      </text>
    </comment>
    <comment ref="G41" authorId="1" shapeId="0" xr:uid="{5E483BAE-1F01-44AF-A562-B5CEB85C9112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42" authorId="1" shapeId="0" xr:uid="{505052E2-DD87-45E7-9DE1-E1DABB1DD193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43" authorId="1" shapeId="0" xr:uid="{43A8B435-737E-4035-9DB6-241C35CA0161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44" authorId="1" shapeId="0" xr:uid="{2A5117E8-C4E1-4704-AA4F-6F01804C31A9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45" authorId="1" shapeId="0" xr:uid="{DD9DA3F4-674F-4EBA-8C85-3CA581665C32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47" authorId="1" shapeId="0" xr:uid="{48FF5F6A-5C06-4C80-88DE-30E2C7B66219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E48" authorId="6" shapeId="0" xr:uid="{0A4E0AEF-B57D-47E0-A8F4-0E842D72BF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a Matriz ou plano do curso para realizar o cadastro no TOTVS. Enviaremos posteriormente</t>
      </text>
    </comment>
    <comment ref="G48" authorId="1" shapeId="0" xr:uid="{C7AA4EB2-FA21-4E4C-A88B-78E68D58CD6F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49" authorId="1" shapeId="0" xr:uid="{33679C42-BF34-43FA-BA3F-8666F8CBEA6C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50" authorId="1" shapeId="0" xr:uid="{F9D27D9E-B3FD-4AF6-B092-9427C4D97C5B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51" authorId="1" shapeId="0" xr:uid="{049384B4-AF09-4E7C-BADF-DD2D2BF30E54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52" authorId="1" shapeId="0" xr:uid="{E2566FC8-7F83-4074-8CEE-28630809BB32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54" authorId="1" shapeId="0" xr:uid="{F61904C4-9C4A-4CB8-A50D-3716FC776F58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55" authorId="1" shapeId="0" xr:uid="{328A69F2-4814-4BEA-9B07-0D8A8EA602BE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56" authorId="1" shapeId="0" xr:uid="{627DC9A2-A49C-4247-A5FB-DD51CC693EF3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58" authorId="1" shapeId="0" xr:uid="{6E9B4A3C-ED32-4367-86F8-660E0BA98A53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E59" authorId="7" shapeId="0" xr:uid="{F0388F83-820B-4635-9EF4-B290AA05BC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a Matriz ou plano do curso para realizar o cadastro no TOTVS. Enviaremos posteriormente</t>
      </text>
    </comment>
    <comment ref="G59" authorId="1" shapeId="0" xr:uid="{6D4725A2-49AB-439D-80D2-7AB32EB84618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60" authorId="1" shapeId="0" xr:uid="{406D0E87-252C-4C19-B954-7E99735E636E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61" authorId="1" shapeId="0" xr:uid="{8C6F9016-DA65-4B33-9179-C76ADD533A21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62" authorId="1" shapeId="0" xr:uid="{252ACC5C-AB83-43EE-9A61-D16EB461BA0F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63" authorId="1" shapeId="0" xr:uid="{FA0A9BBF-D188-4EB3-BBB6-EC736B43C871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64" authorId="1" shapeId="0" xr:uid="{ACC06090-B359-4707-9733-8B00597F4106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66" authorId="1" shapeId="0" xr:uid="{2C306278-E5A2-41CF-9C29-878AF6358682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67" authorId="1" shapeId="0" xr:uid="{C50CE887-8343-4D28-900E-7DB099441B6A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E69" authorId="8" shapeId="0" xr:uid="{CB4F595C-AD42-4C7C-AA7E-6DA5B5ED08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a Matriz ou plano do curso para realizar o cadastro no TOTVS. Enviaremos posteriormente</t>
      </text>
    </comment>
    <comment ref="G69" authorId="1" shapeId="0" xr:uid="{3C98C239-61A7-4E83-A8B8-75FD333FA451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70" authorId="1" shapeId="0" xr:uid="{1620ADA8-39BF-4FF2-8FDE-A17225341D4C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71" authorId="1" shapeId="0" xr:uid="{17879EED-BDA2-425D-82BB-67765CA6E272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  <comment ref="G73" authorId="1" shapeId="0" xr:uid="{B165FBD1-08A2-4652-A436-2181C24733C8}">
      <text>
        <r>
          <rPr>
            <sz val="11"/>
            <color theme="1"/>
            <rFont val="Calibri"/>
            <family val="2"/>
            <scheme val="minor"/>
          </rPr>
          <t>NAIARA Santos Souza Xavier:
Somente o 1ª Módulo</t>
        </r>
      </text>
    </comment>
  </commentList>
</comments>
</file>

<file path=xl/sharedStrings.xml><?xml version="1.0" encoding="utf-8"?>
<sst xmlns="http://schemas.openxmlformats.org/spreadsheetml/2006/main" count="4820" uniqueCount="1344">
  <si>
    <t>PL</t>
  </si>
  <si>
    <t>Turma</t>
  </si>
  <si>
    <t>Análise Documental</t>
  </si>
  <si>
    <t>Curso</t>
  </si>
  <si>
    <t>Turno</t>
  </si>
  <si>
    <t>Tipo de matrícula</t>
  </si>
  <si>
    <t>Data de matrícula</t>
  </si>
  <si>
    <t>Aluno</t>
  </si>
  <si>
    <t>RA</t>
  </si>
  <si>
    <t>E-mail</t>
  </si>
  <si>
    <t>TELEFONE1</t>
  </si>
  <si>
    <t>TELEFONE2</t>
  </si>
  <si>
    <t>Atendente</t>
  </si>
  <si>
    <t>Status do Contato</t>
  </si>
  <si>
    <t>Documento pendente</t>
  </si>
  <si>
    <t>ALUNO SESI? LANÇAR O DESCONTO NA BOLSA FUTURA</t>
  </si>
  <si>
    <t>Algum outro documento anexado,  para lançar desconto?</t>
  </si>
  <si>
    <t>OBS</t>
  </si>
  <si>
    <t>DESCONTO LANÇADO?</t>
  </si>
  <si>
    <t>20261C</t>
  </si>
  <si>
    <t>Matriculado</t>
  </si>
  <si>
    <t>Técnico em Manutenção Automotiva</t>
  </si>
  <si>
    <t>NOTURNO</t>
  </si>
  <si>
    <t>Matrícula</t>
  </si>
  <si>
    <t>Wesley Brandão Profeta dos Santos</t>
  </si>
  <si>
    <t>025.042559</t>
  </si>
  <si>
    <t>wesleybrandao8623@gmail.com</t>
  </si>
  <si>
    <t>Técnico em Redes de Computadores</t>
  </si>
  <si>
    <t>Ederson Santos Nascimento</t>
  </si>
  <si>
    <t>013.348363</t>
  </si>
  <si>
    <t>edersons345@gmail.com</t>
  </si>
  <si>
    <t>Técnico em Biotecnologia</t>
  </si>
  <si>
    <t>MATUTINO</t>
  </si>
  <si>
    <t>Marta Moraes Gomes</t>
  </si>
  <si>
    <t>025.050631</t>
  </si>
  <si>
    <t>martasmoraes@gmail.com</t>
  </si>
  <si>
    <t>Técnico em Eletrotécnica</t>
  </si>
  <si>
    <t>Andrey Braga Martinez</t>
  </si>
  <si>
    <t>025.050681</t>
  </si>
  <si>
    <t>andreybragamartinez@gmail.com</t>
  </si>
  <si>
    <t>Técnico em Petroquímica</t>
  </si>
  <si>
    <t>José dos Santos Borges Neto</t>
  </si>
  <si>
    <t>025.050685</t>
  </si>
  <si>
    <t>joseneto.borges07@hotmail.com</t>
  </si>
  <si>
    <t>Técnico em Mecânica</t>
  </si>
  <si>
    <t>Antônio Vagner Rodrigues de Oliveira</t>
  </si>
  <si>
    <t>025.050772</t>
  </si>
  <si>
    <t>dulce.enfa@gmail.com</t>
  </si>
  <si>
    <t>Técnico em Desenvolvimento de Sistemas</t>
  </si>
  <si>
    <t>Kauê Dias Sá Barreto</t>
  </si>
  <si>
    <t>025.050867</t>
  </si>
  <si>
    <t>kauedsbarreto@gmail.com</t>
  </si>
  <si>
    <t>Não atendeu</t>
  </si>
  <si>
    <t xml:space="preserve">Comprovante de Escolaridade Frente e Verso </t>
  </si>
  <si>
    <t xml:space="preserve">E-mail enviando solicitando Compro. de Escolari. 24/11 Ariana </t>
  </si>
  <si>
    <t>Robson Neves dos Anjos</t>
  </si>
  <si>
    <t>robsonn262@gmail.com</t>
  </si>
  <si>
    <t xml:space="preserve">Funcionário Sistema Fieb </t>
  </si>
  <si>
    <t>Desconto de colaborador lançado nas mensalidades, 21/11 camila</t>
  </si>
  <si>
    <t>Kallindi Vilas Boas Dias</t>
  </si>
  <si>
    <t>025.051075</t>
  </si>
  <si>
    <t>elainevb55@gmail.com</t>
  </si>
  <si>
    <t>Técnico em Multimídia</t>
  </si>
  <si>
    <t>Luka Galante Castro de Oliveira</t>
  </si>
  <si>
    <t>lgalantecastrodeoliveira@gmail.com</t>
  </si>
  <si>
    <t>Foto Atualizada 3X4</t>
  </si>
  <si>
    <t xml:space="preserve">E-mail enviando solicitando Foto 3x4 . 24/11 Ariana </t>
  </si>
  <si>
    <t>Marcelo Guimarães da Silva</t>
  </si>
  <si>
    <t>Bruno Das Dores Santos</t>
  </si>
  <si>
    <t>brunosantosfilho10@gmail.com</t>
  </si>
  <si>
    <t>Geovana</t>
  </si>
  <si>
    <t>Christiano Carvalho</t>
  </si>
  <si>
    <t>christianocarvalhonet@gmail.com</t>
  </si>
  <si>
    <t xml:space="preserve">Ariana </t>
  </si>
  <si>
    <t>Telefone na caixa postal</t>
  </si>
  <si>
    <t>Comprovante de escolaridade</t>
  </si>
  <si>
    <t xml:space="preserve">E-mail de cobrança enviado 24/11- Ariana| contato sem sucesso - 01/12-ARIANA  02/12 contato sem sucesso/ Informação enviado por Whatsapp 03/12-Ariana| Contato sem sucesso-ariana 04/12  -Contato sem sucesso  E-mail de cobrança enviado 09/12 . contato sem sucesso 10/12 - Christiano deu retonro por e-mail enviando documentação inválida , liguei informando para ele que a documentação está pendente  histórico Escolar de Conclusão do Ensino médio 11/12- Ariana / Contato sem sucesso 15/12 -Ariana -Reencaminhado  e-mail para cobrança -Ariana - Tentiva de contato sem sucesso 17/12 Ariana </t>
  </si>
  <si>
    <t>Ednaldo José Souza Ribeiro Junior</t>
  </si>
  <si>
    <t>ednaldoribeirojr@gmail.com</t>
  </si>
  <si>
    <t>Lançar desconto</t>
  </si>
  <si>
    <t>Edvan Santos de Antão</t>
  </si>
  <si>
    <t>edvan.antao29@gmail.com</t>
  </si>
  <si>
    <t>Comprovante  Endereço</t>
  </si>
  <si>
    <t>Documento recebido e validado. 24/11 Ariana</t>
  </si>
  <si>
    <t>Gabriel Luiz Santos e Santos</t>
  </si>
  <si>
    <t>g7856400@gmail.com</t>
  </si>
  <si>
    <t>Ildemar de Carvalho Lima Junior</t>
  </si>
  <si>
    <t>ildemarjunior15@hotmail.com</t>
  </si>
  <si>
    <t>Jean Vitor dos Santos Silva</t>
  </si>
  <si>
    <t>jeanvitorsantos68@gmail.com</t>
  </si>
  <si>
    <t>Luís Augusto Oliveira de Castro Araújo</t>
  </si>
  <si>
    <t>luisaugustobr490@gmail.com</t>
  </si>
  <si>
    <t>Documento Validado Ariana 25/11</t>
  </si>
  <si>
    <t>Pedro Paulo Lopes Ornelas</t>
  </si>
  <si>
    <t>ornellasempreendedor@gmail.com</t>
  </si>
  <si>
    <t>Tarcis Rangel Benicio dos Santos</t>
  </si>
  <si>
    <t>jltbenicio@hotmail.com</t>
  </si>
  <si>
    <t>SIM</t>
  </si>
  <si>
    <t>Valnei Pinto Rocha</t>
  </si>
  <si>
    <t>rochavalnei132@gmail.com</t>
  </si>
  <si>
    <t>Willyan Gustavo barbosa da purificação</t>
  </si>
  <si>
    <t>Barbosa.gustavo2008@gmail.com</t>
  </si>
  <si>
    <t>Comporv de reside, escolaridade,CPF RESPON.Ariana</t>
  </si>
  <si>
    <t>Daniel Matos de Matos</t>
  </si>
  <si>
    <t>daniel357matos@gmail.com</t>
  </si>
  <si>
    <t>Deivisson Machado Pires</t>
  </si>
  <si>
    <t>deivissonmachado504@gmail.com</t>
  </si>
  <si>
    <t>Itamar Sampaio Passos Junior</t>
  </si>
  <si>
    <t>jrsampaio3@gmail.com</t>
  </si>
  <si>
    <t>7198886-4464</t>
  </si>
  <si>
    <t>Marcos Fellipe de Jesus Santos</t>
  </si>
  <si>
    <t>marcosfellipe387604@gmail.com</t>
  </si>
  <si>
    <t>7199233-9492</t>
  </si>
  <si>
    <t>Rafael Fernandes dos Santos</t>
  </si>
  <si>
    <t>arelsantos.0@gmail.com</t>
  </si>
  <si>
    <t>7198335-2042</t>
  </si>
  <si>
    <t>Diego Souza Pires</t>
  </si>
  <si>
    <t>pires0905@gmail.com</t>
  </si>
  <si>
    <t>7199203-1345</t>
  </si>
  <si>
    <t>Felipe dos Santos Oliveira</t>
  </si>
  <si>
    <t>felipe.elma@gmail.com</t>
  </si>
  <si>
    <t>7199953-6944</t>
  </si>
  <si>
    <t>Josias Gabriel Coura Marques</t>
  </si>
  <si>
    <t>couramaria603@gmail.com</t>
  </si>
  <si>
    <t>7198231-9838</t>
  </si>
  <si>
    <t>Luciano Pereira da Costa</t>
  </si>
  <si>
    <t>costatech.solucoes@gmail.com</t>
  </si>
  <si>
    <t>7199106-9261</t>
  </si>
  <si>
    <t>sim</t>
  </si>
  <si>
    <t>bolsa lançada no contrato, colaborador-camila 18/12</t>
  </si>
  <si>
    <t>Ariel de Azevedo Barbosa</t>
  </si>
  <si>
    <t>Aless.barbosa@gmail.com (Pai de Ariel)</t>
  </si>
  <si>
    <t>Sim</t>
  </si>
  <si>
    <t>E-mail  de cobrança enviado 25/11/ | contato com sucesso, Pai de Ariel informou que irá enviar  documentação pendente 26/11- ARIANA Informação passada pelo Whatsapp 03/12-Ariana| Pai do candidato informou que só tem o boletindo 1°. Já passei todas as orientaçõe, o mesmo ficará em análise, camila 09/12 -Contato sem sucesso 15/12 Reecaminhado e-mail para cobrança .Ariana</t>
  </si>
  <si>
    <t xml:space="preserve">Matrícula </t>
  </si>
  <si>
    <t>Guilherme Carneiro Andrade</t>
  </si>
  <si>
    <t>andradegui730@gmail.com</t>
  </si>
  <si>
    <t>7199743-7181</t>
  </si>
  <si>
    <t>Amanhã 25/11 verificar com Camila sobre possivel desconto .</t>
  </si>
  <si>
    <t>Fabio Bezerra da Silva</t>
  </si>
  <si>
    <t>astania46@gmail.com</t>
  </si>
  <si>
    <t>7199200-0067</t>
  </si>
  <si>
    <t>Charles do Rosario Maia</t>
  </si>
  <si>
    <t>charlesdorosariomaia@gmail.com</t>
  </si>
  <si>
    <t>7198138-1030</t>
  </si>
  <si>
    <t>Thiago dos Santos da Silva</t>
  </si>
  <si>
    <t>ts4133010@gmail.com</t>
  </si>
  <si>
    <t>7599105-7319</t>
  </si>
  <si>
    <t>Samuel Alves Pinheiro de Jesus</t>
  </si>
  <si>
    <t>alvesjesuss@hotmail.com</t>
  </si>
  <si>
    <t>7199298-2916</t>
  </si>
  <si>
    <t>Isaac Moreira Lima</t>
  </si>
  <si>
    <t>isacmoreiral8ma6@gmail.com</t>
  </si>
  <si>
    <t>Jeferson Alves Santos</t>
  </si>
  <si>
    <t>jeoalves16@gmail.com</t>
  </si>
  <si>
    <t>Francisco Rian Luz dos Reis</t>
  </si>
  <si>
    <t>lysiereis@gmail.com</t>
  </si>
  <si>
    <t>Enviará o documento</t>
  </si>
  <si>
    <t xml:space="preserve">Anexou o comp escolaridade do 1° ano do ensino médio, encaminhado e-mail de cobrança 26/11| ligação com sucesso, "mãe de Franciso Ciente da documento que precisa entregar e informou que irá aguardar o colegio emitir o documento correto, 01/12-ARIANA- e-mail enviado 03/12-Ariana   Enviado mensagem por whatsapp sobre a informação do documento pendnete  11/12-Ariana- Aguardando retorno da mãe de Francisco pós ficou de dar um parecer hoje 15/12 Ariana  Contato por Whatssap para cobrança da documentação 16/12- Ariana /Encaminhado o ultimo e-mail , informando a pendência documental - Ariana 18/12 </t>
  </si>
  <si>
    <t>Alejandro do nascimento moura leite</t>
  </si>
  <si>
    <t>alejandroleite2001@gmail.com</t>
  </si>
  <si>
    <t>Carlos Daniel Pinheiro Almeida</t>
  </si>
  <si>
    <t>Carlosdanielpinheiroa@gmail.com</t>
  </si>
  <si>
    <t>Cauã dos Anjos da Mota</t>
  </si>
  <si>
    <t>anjosc676@gmail.com</t>
  </si>
  <si>
    <t>Historico Escolar do Ensino médio</t>
  </si>
  <si>
    <t>Solicitar o Histórico Escolar do Ensino Médio</t>
  </si>
  <si>
    <t>Gisele Bonfim da silva</t>
  </si>
  <si>
    <t>giselle.silvags19@icloud.com</t>
  </si>
  <si>
    <t>Isaque Soares dos Santos</t>
  </si>
  <si>
    <t>santosisaquesoares@gmail.com</t>
  </si>
  <si>
    <t>Jadson Pinheiro Almeida</t>
  </si>
  <si>
    <t>jadson-2000@hotmail.com</t>
  </si>
  <si>
    <t xml:space="preserve">Encaminhado e-mail 25/11 tentativa de contato sem sucesso 01/12 Informações enviadas por Whatsapp 03/12-Ariana -Contato sem sucesso , e-mail sendo enviado para cobrança 09/12 Ariana </t>
  </si>
  <si>
    <t xml:space="preserve">2026IC </t>
  </si>
  <si>
    <t>Cancelado</t>
  </si>
  <si>
    <t>Samuel Conceição Carmo</t>
  </si>
  <si>
    <t>pinpin.claudio@gmail.com</t>
  </si>
  <si>
    <t>Anexou o comp escolaridade do 1° ano do ensino médio, encaminhado e-mail de cobrança 24/11/  Ligação sem sucesso,  e encaminhado e-mail novamente 01/12-ARIANA 02/12 Contato sem sucesso. 03/12 O pai de Samuel (Luis) Informa que irá providenciar a documentação Pendente . -Ariana Contato Feito com Luis Pai de Samuel informou que já solicitou o documento e vai está enviado 09/12 aguardando o retorno.-Reecaminhado e-mail para cobrança- Contato com sucesso com o pai de Samuel 15/12 - E-mail enviado para cobrança de documento pendente- Pai de Samuel entrou em contato informando que seu filho  so terá a documentação do 2º ano do ensino Médio em janeiro dia 12/2026, informei que nesse caso Samuel ficara em Análise Documental ate o documento correto ser anexado , informei também que não guardamos vagas. 16/12 -Ariana / Encaminhado o ultimo e-mail , informando a pendência documental - Ariana 18/12 - Ariana 30/12 |  e-mail  de cobrança com a data de hj até as 17h- camila 06/01/2026| Contato sem sucesso. encaminhado e-mail  dando o prazo final para a entrega hj até as 16h camila-12/01/26| conforme contato o pai informou que não teria o documento e que poderia realizar o reembolso- mat cancelado e e-mail de conbrança enviado- camila 13/01/26</t>
  </si>
  <si>
    <t>Erick Maia Santos</t>
  </si>
  <si>
    <t>021.835344</t>
  </si>
  <si>
    <t>maiasantosxd133@gmail.com</t>
  </si>
  <si>
    <t>Camila</t>
  </si>
  <si>
    <t>Documento EJA, Encaminhado e-mail de cobrança, camila/ CURSO CANCELADO, E-MAIL ENVIADO-CAMILA 25/11| APÓS DADOS BANCARIOS ENCAMINHADO, ALUNO INFORMOU QUE TERIA COMO ENTREGAR O DOCUMENTO, DEIXAREI EM ANÁLISE. RESSALTO QUE FOI INFORMADO QUE NÃO TERÁ VAGA "GUARDADA", CAMILA 01/12-Contato sem sucesso, Reencaminhado e-mail  15/12 Contato com sucesso com Erick , ele já solicitou a documentação e so pode nos enviar no dia 19/12.Ariana -Encaminhado o ultimo e-mail , informando a pendência documental - Ariana 18/12  - Ariana 30/12 | e-mail  de cobrança com a data de hj até as 17h- camila 06/01/2026| só tem a escolaridade EJA, matrícula  cancelada- camila 07/01/2026</t>
  </si>
  <si>
    <t>Felipe Rosário Souza</t>
  </si>
  <si>
    <t>feliperosariosouza87@gmail.com</t>
  </si>
  <si>
    <t>7198202-6572</t>
  </si>
  <si>
    <t>Técnico em Logística</t>
  </si>
  <si>
    <t>Renan Borges Noranha Silva</t>
  </si>
  <si>
    <t>RENANBORGES262005@GMAIL.COM</t>
  </si>
  <si>
    <t>Samuel Pena dos Santos</t>
  </si>
  <si>
    <t>samuelpena2803@gmail.com</t>
  </si>
  <si>
    <t>Marcus Paulo Mateo Gonçalves</t>
  </si>
  <si>
    <t>marcuspaulomtt@gmail.com</t>
  </si>
  <si>
    <t>Moisés de Jesus Souza Pereira</t>
  </si>
  <si>
    <t>moisesluffu@gmail.com</t>
  </si>
  <si>
    <t>Gelma Santana de Sousa</t>
  </si>
  <si>
    <t>gelsantbahia@gmail.com</t>
  </si>
  <si>
    <t>Francisco Kleber Azevedo Junior</t>
  </si>
  <si>
    <t>francisco.azevedo23@gmail.com</t>
  </si>
  <si>
    <t>Diógenes dos Santos Ferreira</t>
  </si>
  <si>
    <t>diogenes.f.13@hotmail.com</t>
  </si>
  <si>
    <t>Cristian Santana De Jesus</t>
  </si>
  <si>
    <t>jesuscristian2404@gmail.com</t>
  </si>
  <si>
    <t>Luana Gomes da Cruz</t>
  </si>
  <si>
    <t>luana_gcruz@hotmail.com</t>
  </si>
  <si>
    <t>William Rosado Silva</t>
  </si>
  <si>
    <t>williamsilva113@gmail.com</t>
  </si>
  <si>
    <t>Adriana da Hora Conceição Santos</t>
  </si>
  <si>
    <t>adrianadahora.adh97@gmail.com</t>
  </si>
  <si>
    <t>Alberto Santos Ferreira de Moura Junior</t>
  </si>
  <si>
    <t>junior1717al@gmail.com</t>
  </si>
  <si>
    <t>Diogo Portugal</t>
  </si>
  <si>
    <t>dportugal071@gmail.com</t>
  </si>
  <si>
    <t>Elton de Santana Silva</t>
  </si>
  <si>
    <t>ektondesantana@gmail.com</t>
  </si>
  <si>
    <t xml:space="preserve">Contato realizado, Elton irá enviar a documentação . 01/12 -Ariana, informação passada por Whatsapp 04/12 </t>
  </si>
  <si>
    <t>Emerson Sousa Carvalho</t>
  </si>
  <si>
    <t>emersonsousacarvalho@hotmail.com</t>
  </si>
  <si>
    <t xml:space="preserve">Juliana </t>
  </si>
  <si>
    <t>Erica Guimarães dos Santos Souza</t>
  </si>
  <si>
    <t>ericaguimaraes2008@hotmail.com</t>
  </si>
  <si>
    <t>Gabriel Villas Boas Lima</t>
  </si>
  <si>
    <t>gabriellima0707@gmail.com</t>
  </si>
  <si>
    <t>Giovani José Rosendo dos Santos Júnior</t>
  </si>
  <si>
    <t>giovannijunnior25@gmail.com</t>
  </si>
  <si>
    <t>João Carlos Leite Menezes Filho</t>
  </si>
  <si>
    <t>jclmf2303@gmail.com</t>
  </si>
  <si>
    <t>João Paulo dos Santos Bastos</t>
  </si>
  <si>
    <t>joao.bastos18@outlook.com</t>
  </si>
  <si>
    <t>Layon Caires Carinhanha</t>
  </si>
  <si>
    <t>oadmlayon@gmail.com</t>
  </si>
  <si>
    <t xml:space="preserve">Leandro Correia dos Santos </t>
  </si>
  <si>
    <t>leandro1982correia@gmail.com</t>
  </si>
  <si>
    <t>Lucas de Jesus Lima</t>
  </si>
  <si>
    <t>lusca1707@gmail.com</t>
  </si>
  <si>
    <t xml:space="preserve">Comprovante de escolaridade </t>
  </si>
  <si>
    <t>Contato sem sucesso, 01/12-Ariana / Encaminhado e-mail  de cobrança .02/12-Ariana/ Informação passada por Whatsapp 03/12 Ariana Contato sem sucesso 04/12 Ariana-Contato com sucesso 10/12 Cristiano ciente da informação 10/12-Ariana- Contato sem sucesso , reencamihado e-mail de cobrança 15/12- Ariana   Lucas está ciente da documentação pendente ; 16/12 Ariana /Informação enviada por whatsapp Lucas ciente. 17/12-Ariana Contato com sucesso Lucas está ciente da  documentação , informou por telefone que so poderá enviar o documento em Janeiro , informei que sua matricula será efetivada quando os documentos estiver anexado corretamente 22/12 -Ariana/  Informação enviada por whatsapp para Lucas falando sobre documento pendente 05.01 -Ariana.Tentivas de contato sem sucesso -Ariana 08/01 Tentivas de contato sem sucesso , e-mail enviado 09/01 -Ariana/ Contato feito com Lucas ,informou que na segunda-feira 12/01 irá providenciar o documento.( Whatsapp e email enviado, cobrança para entrega da documentação com prazo  até 19/01  10:00 - Camila 17/01/26. E-mail enviado dia 30/01 - Pedro/Contato por telefone sem sucesso (Caixa Postal)</t>
  </si>
  <si>
    <t>Lucas de Santana Fiss</t>
  </si>
  <si>
    <t>lucasfiss2@gmail.com</t>
  </si>
  <si>
    <t>Pablo Mendes Santos</t>
  </si>
  <si>
    <t>pablomendes199@gmail.com</t>
  </si>
  <si>
    <t>Miquéias Dhoníson dos Santos Santos</t>
  </si>
  <si>
    <t>dhonison9@gmail.com</t>
  </si>
  <si>
    <t>7199724-9598</t>
  </si>
  <si>
    <t>Alef Breno Silva de Jesus</t>
  </si>
  <si>
    <t>silvaalefbrenosilva@gmail.com</t>
  </si>
  <si>
    <t>7199680-2791</t>
  </si>
  <si>
    <t>Técnico em Petroquimíca</t>
  </si>
  <si>
    <t>Bruno dos Santos Pires</t>
  </si>
  <si>
    <t>bruno-pires747@hotmail.com</t>
  </si>
  <si>
    <t>7198508-2776</t>
  </si>
  <si>
    <t>Técnico em Mecatrônica</t>
  </si>
  <si>
    <t>Marcos Felipe Oliveira Sales</t>
  </si>
  <si>
    <t>riscoimpresso@gmail.com</t>
  </si>
  <si>
    <t>7198709-0722</t>
  </si>
  <si>
    <t xml:space="preserve">Anexou comprovante que está no 1° ano do ensino médio, Cristiane Mãe de Marcos Filipe está ciente da documentação que precisa ser entregue , informou que na proxima semana verificaria com o Colégio 03/12 /Ariana - Cristiane mãe de Marcos tendeu e informou que a documentação será enviada hoje (09/12 ou amanhã 10/12)  Ariana /informação passada por Whatsapp 10/12 Ariana </t>
  </si>
  <si>
    <t>Ronald Rian Santos Silva</t>
  </si>
  <si>
    <t>riansilva270704@gmail.com</t>
  </si>
  <si>
    <t>7198358-9006</t>
  </si>
  <si>
    <t>Histórico Escolar anexar frente do  documento</t>
  </si>
  <si>
    <t>Anexou a documentação correta , Também fez o enviou por Whatsapp 04/12/2025</t>
  </si>
  <si>
    <t>Alisson Andrade Rocha</t>
  </si>
  <si>
    <t>Alissonrochaecv@gmail.com</t>
  </si>
  <si>
    <t>7199299-8690</t>
  </si>
  <si>
    <t>Bruno Santos da Silva</t>
  </si>
  <si>
    <t>bruno_eletor88@hotmail.com</t>
  </si>
  <si>
    <t>7199371-6903</t>
  </si>
  <si>
    <t xml:space="preserve">Contato sem sucesso 04/12  E-mail enviado 04/12 Ariana/ Doucmento Entrege via e-mail 05/12 </t>
  </si>
  <si>
    <t>Altamiro Ribeiro dos Santos</t>
  </si>
  <si>
    <t>altamiro_ribeiro15@hotmail.com</t>
  </si>
  <si>
    <t>7199274-0367</t>
  </si>
  <si>
    <t>Lucas Silva Moreno</t>
  </si>
  <si>
    <t>luc4smrmx@gmail.com</t>
  </si>
  <si>
    <t>7198115-0417</t>
  </si>
  <si>
    <t>Aliomar Nascimento dos Santos Neto</t>
  </si>
  <si>
    <t>aliomarnascimentoneto@gmail.com</t>
  </si>
  <si>
    <t>NÃO</t>
  </si>
  <si>
    <t>ELE CONCLUIU O ENSINO FUNDAMENAL NO SESI</t>
  </si>
  <si>
    <t>Cristiano Costa Lima</t>
  </si>
  <si>
    <t>sopranovendas@gmail.com</t>
  </si>
  <si>
    <t>Contato sem sucesso 05/12 Ariana/ .E-mail  de cobrança enviado 09/12 Ariana-Atendeu a ligação, porém ele pediu mais dias 10/12 Ariana ,15/12 informei que não guardamos vagas e que precisa da documentação para concluir  a matricula ,Informação passada por e-mail. Ariana - Contato sem sucesso , reencaminhado e-mail para cobrança 15/12</t>
  </si>
  <si>
    <t xml:space="preserve">Arlete de Araujo Silva </t>
  </si>
  <si>
    <t>arletesilva7073@gmail.com</t>
  </si>
  <si>
    <t>Nadiara</t>
  </si>
  <si>
    <t>E-mail  de cobrança enviado 09/12 -Ariana - Informações passada por Whatsapp  10/12  -Contato sem sucesso 10/12</t>
  </si>
  <si>
    <t>Cauã Oliveira Barbosa</t>
  </si>
  <si>
    <t>caua11222.om@gmail.com</t>
  </si>
  <si>
    <t>Gabriel Silva Sena Gomes</t>
  </si>
  <si>
    <t>gabisenagomes@gmail.com</t>
  </si>
  <si>
    <t xml:space="preserve">    </t>
  </si>
  <si>
    <t>João Victor Souza Lima de Oliveira Felix</t>
  </si>
  <si>
    <t>johnfelix.official@gmail.com</t>
  </si>
  <si>
    <t>Laura Laiane Da Paixão Amorim</t>
  </si>
  <si>
    <t>amorimlaura953@gmail.com</t>
  </si>
  <si>
    <t>Comprovante de escolaridade Verso</t>
  </si>
  <si>
    <t>Contato sem sucesso-E-mail  de cobrança enviado 09/12 -Ariana contato sem sucesso / Informações passada por Whatsapp  10/12 Ariana</t>
  </si>
  <si>
    <t>Lucas Pinho Santos</t>
  </si>
  <si>
    <t>santoslucaspinhosantos@gmail.com</t>
  </si>
  <si>
    <t>João Matheus de Santana Carvalho Silva</t>
  </si>
  <si>
    <t>joaomatheusantna@gmail.com</t>
  </si>
  <si>
    <t xml:space="preserve">Contato com sucesso, Matheus irá enviar a documentação informada 10/12 Ariana </t>
  </si>
  <si>
    <t>Ana Luísa Borges Gomes</t>
  </si>
  <si>
    <t>analuisagomes025@gmail.com</t>
  </si>
  <si>
    <t>Ester Abisinia Linderos Saravia</t>
  </si>
  <si>
    <t>esterlsaravia@gmail.com</t>
  </si>
  <si>
    <t>Robert Pereira da Purificação</t>
  </si>
  <si>
    <t>robertpurificacao@gmail.com</t>
  </si>
  <si>
    <t>Diogo Costa dos Santos Vasconcelos</t>
  </si>
  <si>
    <t>diogovascocelos7@gmail.com</t>
  </si>
  <si>
    <t>camila</t>
  </si>
  <si>
    <t>Rafael Pereira Bastos Oliveira</t>
  </si>
  <si>
    <t>rafaelshow071@gmail.com</t>
  </si>
  <si>
    <t>Comprovante de Escolaridade Atualizado</t>
  </si>
  <si>
    <t xml:space="preserve">Contato realizado com sucesso , foi passado  as informações por e-mail , Rafael segue ciente de que não o documento anexado poderar interferir  na sua matricula . 11/12 -Ariana </t>
  </si>
  <si>
    <t>Gilderlan Silva Queiroz de Santana</t>
  </si>
  <si>
    <t>Gilqueiroz70@gmail.com</t>
  </si>
  <si>
    <t>7198203-5080</t>
  </si>
  <si>
    <t>Encaminhado e-mail  02/12 de cobrança / 03/12 Contato sem sucesso.Informações passadas por whatsapp 03/12-Ariana  Gilderlan está ciente da documentação , segundo ele  estará enviado por whatsapp 04/12 Ariana  ,09/12-Gilderlan deu retorno por whatsapp , informou que a documentação so pode ser entregue dia 20/12 -Ariana - Contato sem Sucesso ,Informação passadas por Whatssap  15/12</t>
  </si>
  <si>
    <t>;</t>
  </si>
  <si>
    <t>João Paulo Moreno</t>
  </si>
  <si>
    <t>Jopajesi10@gmail.com</t>
  </si>
  <si>
    <t>Comprovante de Escolaridade| Comprovante de residencia</t>
  </si>
  <si>
    <t xml:space="preserve">Encaminhado e-mail de cobrança/ Enviado Informação por Whatsapp 12/12 -Ariana  - Reencaminhado e-mail para cobrança e Whatsapp com as informações 15/12- Tentativas de contato sem sucesso 16/12 João está ciente da documentação com a data mais rescente .Ariana 17/12 </t>
  </si>
  <si>
    <t>José Matheus dos Santos Cardoso Santos</t>
  </si>
  <si>
    <t>wellc_@Hotmail.com</t>
  </si>
  <si>
    <t xml:space="preserve">Encaminhado e-mail de cobrança /Enviado Informação por Whatsapp 12/12 -Ariana </t>
  </si>
  <si>
    <t>Pedro Correia de Oliveira</t>
  </si>
  <si>
    <t>PedroOliveira10k@gmail.com</t>
  </si>
  <si>
    <t>Comprovante de Escolaridade| RG Responsavel Financeiro</t>
  </si>
  <si>
    <t>Encaminhado e-mail de cobrança 12/12 -Ariana -Reencaminado e-mail para cobrança , e Whatsapp Támbem . 15/12 Ariana</t>
  </si>
  <si>
    <t>João Paulo Dos Santos Pinto</t>
  </si>
  <si>
    <t>joaopauloasaf@gmail.com</t>
  </si>
  <si>
    <t>CAMILA</t>
  </si>
  <si>
    <t xml:space="preserve">Enviado e-mail para cobrança do documento pendente , informações também passada por Whatsapp 15/12 -Ariana </t>
  </si>
  <si>
    <t>João Gabriel Santana Silva</t>
  </si>
  <si>
    <t>lucycsantana@yahoo.com.br</t>
  </si>
  <si>
    <t>ALUNO PASSOU PARA BOLSISTA</t>
  </si>
  <si>
    <t>Henrique Baleeiro Monteiro</t>
  </si>
  <si>
    <t>riquebmonteiro@gmail.com</t>
  </si>
  <si>
    <t>Joelson da Silva Nascimento</t>
  </si>
  <si>
    <t>joelsonascimento987@hotmail.com</t>
  </si>
  <si>
    <t>Kauê Alves de Melo Noberto</t>
  </si>
  <si>
    <t>mariaalves5713@gmail.com</t>
  </si>
  <si>
    <t>COBRAR DOCUMENTO DO RESP. FINANC.</t>
  </si>
  <si>
    <t xml:space="preserve">COBRAR DOCUMENTO DO RESP. FINANC.- Enviado e-mail cobrando a documentação pendente e por Whatsapp Támbem 15/12-Ariana </t>
  </si>
  <si>
    <t>Kauã Eduardo da Silva Santos</t>
  </si>
  <si>
    <t>kuaxxx22@gmail.com</t>
  </si>
  <si>
    <t>Rodrigo Souza de Oliveira</t>
  </si>
  <si>
    <t>rodrigosouzaaa1x@gmail.com</t>
  </si>
  <si>
    <t>Mauricio Pereira Ramos</t>
  </si>
  <si>
    <t>mramos2601@yahoo.com.br</t>
  </si>
  <si>
    <t xml:space="preserve">Solicitar o certificado para obter desconto(Geovana)/ Doucmento solicitado por Whatsapp -15/12 Ariana / DOCUMENTO ANEXADO. 15/12 </t>
  </si>
  <si>
    <t>Jean Gomes dos Santos</t>
  </si>
  <si>
    <t>Jeogomes@hotmail.com</t>
  </si>
  <si>
    <t>Ariana</t>
  </si>
  <si>
    <t>Anna Julia Silva Almeida</t>
  </si>
  <si>
    <t>annajulia2007ba@gmail.com</t>
  </si>
  <si>
    <t>Anexo o documento de outra pessoa.</t>
  </si>
  <si>
    <t>Tentivas de contato sem sucesso - enviado e-mail para cobranças das documentações -Ariana  16/12 Tentivas de contato sem sucesso. 17/12 -Ariana Informações enviada por Whatsapp 17/12 -Ariana Anna Júlia respondeu Whatssap para saber mais sobre as documentações anexada ,informei que os documentos esta com nome de outra pessoa , aguardando o retorno dela .Ariana 18/12</t>
  </si>
  <si>
    <t>Alan David de Jesus Rocha</t>
  </si>
  <si>
    <t>andreiayalana@gmail.com</t>
  </si>
  <si>
    <t>(71)98184-3117</t>
  </si>
  <si>
    <t>Evandro Fernandes da Cruz</t>
  </si>
  <si>
    <t>evandrofernandes491@gmail.com</t>
  </si>
  <si>
    <t xml:space="preserve">Rafael Alcantra Fernnades </t>
  </si>
  <si>
    <t>rafafernandes777@hotmail.com</t>
  </si>
  <si>
    <t>Pedro Gabriel santos Oliveira</t>
  </si>
  <si>
    <t>anjo1gabriel_321@hotmail.com</t>
  </si>
  <si>
    <t>Maria Luiza Negreiros Oliveira</t>
  </si>
  <si>
    <t>luizadev685@gmail.com</t>
  </si>
  <si>
    <t>Murilo Conceição de Aquino</t>
  </si>
  <si>
    <t>muriloaquinotrab@gmail.com</t>
  </si>
  <si>
    <t>Solicitar comprovante escolarida cursando 2º ano/Rg do responsável frente.</t>
  </si>
  <si>
    <t>E-mail enviado cobrando a documentação  pendente 16/12 -Ariana       informação passada por whatsapp 17/12-Ariana .Aguardando o envio da documentação amanhã 19/12 , o candidato está ciente , caso não estarei enviando o ultimo e-mail de cobrança - Por Whatsaap Murilo enviou o RG do Responsável . Ariana 18/12</t>
  </si>
  <si>
    <t>Jadson Cauã Mocitaiba de Santana</t>
  </si>
  <si>
    <t>jadsoncauamocitaib@gmail.com</t>
  </si>
  <si>
    <t>Hector Matias Nunes Oliveira</t>
  </si>
  <si>
    <t>hectormatiasnunes897@gmail.com</t>
  </si>
  <si>
    <t>Isnaia da Silva Correia</t>
  </si>
  <si>
    <t>isnaia.correia18@gmail.com</t>
  </si>
  <si>
    <t>Comprovante de Escolaridade</t>
  </si>
  <si>
    <r>
      <rPr>
        <sz val="9"/>
        <color rgb="FF000000"/>
        <rFont val="Calibri Light"/>
        <family val="2"/>
      </rPr>
      <t>Contato sem sucesso - Foi enviado e-mail para documentação Pendente e Whatsaap Também. -18/12- Ariana/ Contato sem sucesso reenviado e-mail para cobrança, a mesma informou que deseja cancelamento.</t>
    </r>
    <r>
      <rPr>
        <sz val="9"/>
        <color rgb="FFFF0000"/>
        <rFont val="Calibri Light"/>
        <family val="2"/>
      </rPr>
      <t>Camila colocou na planilha para o NDR realizar a ação e após isso cancelar. -Ariana 22/12</t>
    </r>
  </si>
  <si>
    <t>Carlos Henrique dos Santos Damascena</t>
  </si>
  <si>
    <t>carloshenriqueprofissional@gmail.com</t>
  </si>
  <si>
    <t xml:space="preserve"> </t>
  </si>
  <si>
    <t>Guilherme Gonçalves de Melo</t>
  </si>
  <si>
    <t>srguimelo@gmail.com</t>
  </si>
  <si>
    <t xml:space="preserve">Jean Marcelo Brito dos Santos </t>
  </si>
  <si>
    <t>jeanmarcelo162@gmail.com</t>
  </si>
  <si>
    <t xml:space="preserve">E-mail enviado cobrando a documentação  pendente, informando que a data final hoje  (18/12)- Ariana -Curso de Eletrotécnica </t>
  </si>
  <si>
    <t>Victor dos Santos Silveira</t>
  </si>
  <si>
    <t>victor.silveira2002@gmail.com</t>
  </si>
  <si>
    <t>Wildes Kauan da Silva Ferreira</t>
  </si>
  <si>
    <t>wildeskauanw@gmail.com</t>
  </si>
  <si>
    <t>Matheus Henrique Araujo Cardial</t>
  </si>
  <si>
    <t>matheuscardial013@gmail.com</t>
  </si>
  <si>
    <t>CPF</t>
  </si>
  <si>
    <t>Documentação entregue no dia 19/12/2025 - 12:40</t>
  </si>
  <si>
    <t>Thiago Ataide Dantas Fortes</t>
  </si>
  <si>
    <t>4S2.055448</t>
  </si>
  <si>
    <t>thiagoataide13df@gmail.com</t>
  </si>
  <si>
    <t>Paulo Vitor Santos Rodrigues</t>
  </si>
  <si>
    <t>paulovitor2061@gmail.com</t>
  </si>
  <si>
    <t>7199290-6767</t>
  </si>
  <si>
    <t>Darlan Daisson de Jesus Santos</t>
  </si>
  <si>
    <t>darlandaisson94@gmail.com</t>
  </si>
  <si>
    <t>Ítalo Costa Andrade</t>
  </si>
  <si>
    <t>dr.italoandrade23820@gmail.com</t>
  </si>
  <si>
    <t>Comprovante de Escolaridade, RG</t>
  </si>
  <si>
    <t xml:space="preserve">Contato feito Italo ciente da documentação Pendente .- 22/12 Ariana  </t>
  </si>
  <si>
    <t>Deisy Nairam Bonfim Pires</t>
  </si>
  <si>
    <t>deisybonfim25@gmail.com</t>
  </si>
  <si>
    <t>RG Verso</t>
  </si>
  <si>
    <t>CANCELADO</t>
  </si>
  <si>
    <t>Everton Ricardo dos Santos Macena</t>
  </si>
  <si>
    <t>evertonmacena@gmail.com</t>
  </si>
  <si>
    <t>Guilherme Silva Fernandes de Souza</t>
  </si>
  <si>
    <t>cilenesilva450@gmail.com</t>
  </si>
  <si>
    <t>Everton José Silva Santos</t>
  </si>
  <si>
    <t>evertonjsantos3108@icloud.com</t>
  </si>
  <si>
    <t>Pedro Henrique dos Santos</t>
  </si>
  <si>
    <t>ph024393@gmail.com</t>
  </si>
  <si>
    <t>E-mail enviando solicitando os documentos serem anexados (todos) -Tentativas de contato sem sucesso- Inormações enviada por Whatsapp Ariana 23/12</t>
  </si>
  <si>
    <t>Andre Alisson Santos</t>
  </si>
  <si>
    <t>alissonandre020@gmail.com</t>
  </si>
  <si>
    <t>E-mail enviando solicitando os documentos serem anexados (todos)  Tentativas de contato com sucesso ,ciente da documentação/ Inormações enviada por Whatsapp  -Ariana 23/12</t>
  </si>
  <si>
    <t>Pedro Alexandrino Nascimento dos Santos</t>
  </si>
  <si>
    <t>alexandrinop358@gmail.com</t>
  </si>
  <si>
    <t>E-mail enviando solicitando os documentos serem anexados (todos) Tentativas de contato sem sucesso -Ariana 23/12</t>
  </si>
  <si>
    <t>Pedro Henrique Silva Souza Filho</t>
  </si>
  <si>
    <t>pedrohfilho251@gmail.com</t>
  </si>
  <si>
    <t xml:space="preserve">Pedro Henrique está ciente da documentação Pendente , segundo ele , estará providenciando, e-mail enviado.23/12-Ariana / Contato sem sucesso 29/12- Ariana Contato sem sucesso 30/12-Ariana / Falta veriifcar o documento do desconto , anexou o contracheque , infomei que deveria solicitar a declaração ao RH para constar a vincluação 05/01-Ariana </t>
  </si>
  <si>
    <t>Daniel Ribeiro Santos de Jesus</t>
  </si>
  <si>
    <t>dr11327@gmail.com</t>
  </si>
  <si>
    <t>(71)1984-2773</t>
  </si>
  <si>
    <t>(71)71984-2773</t>
  </si>
  <si>
    <t>Informação enviada por e-mail 23/12- Ariana -E-mail enviado novamente para cobrança da documentação 29/12-Ariana- Contato sem sucesso 30/12 -Ariana  / Sem contato, número de telefone errado. Enviado e-mail  para cobrança Ariana 07/01| contato sem sucesso-camila 10/01/26| contato sem sucesso-camila 12/01/26), Entrega  do Comprovante de escolariddae mega zap 27/01/2026 -10:11 Hs.</t>
  </si>
  <si>
    <t>Fabio Nascimento Suzart</t>
  </si>
  <si>
    <t>fabio.suzar89@gmail.com</t>
  </si>
  <si>
    <t>David Cauan dos Reis de Oliveira Cordeiro</t>
  </si>
  <si>
    <t>oliveiradavidcauan@gmail.com</t>
  </si>
  <si>
    <t>Guilherme Florencio Lisbôa</t>
  </si>
  <si>
    <t>daniellalisboa@gmail.com</t>
  </si>
  <si>
    <t>Ricardo de Castro Soares</t>
  </si>
  <si>
    <t>ricardodecastrosoares@gmail.com</t>
  </si>
  <si>
    <t>Isaque Nascimento Silva</t>
  </si>
  <si>
    <t>is1964127@gmail.com</t>
  </si>
  <si>
    <t>Saulo</t>
  </si>
  <si>
    <t>Almir Santana Bezerra</t>
  </si>
  <si>
    <t>almirsantanabezerra@gmail.com</t>
  </si>
  <si>
    <t>Jamilton Menezes Junior</t>
  </si>
  <si>
    <t>jamiltonmjr@gmail.com</t>
  </si>
  <si>
    <t>Jeane Ferreira da Mota</t>
  </si>
  <si>
    <t>mcferreiramota12@gmail.com</t>
  </si>
  <si>
    <t>Miguel Santos Santana</t>
  </si>
  <si>
    <t>miguel.san100@hotmail.com</t>
  </si>
  <si>
    <t>Caroline Castro Caldas</t>
  </si>
  <si>
    <t xml:space="preserve">                                                                                 </t>
  </si>
  <si>
    <t>Krolinny15@gmail.com</t>
  </si>
  <si>
    <t xml:space="preserve">Comprovante de Residência ilegevel </t>
  </si>
  <si>
    <t xml:space="preserve">Enviado e-mail para cobrança 30/12-Ariana </t>
  </si>
  <si>
    <t>Júlio César Maia Rodrigues Julião</t>
  </si>
  <si>
    <t>juliojuliao1988@gmail.com</t>
  </si>
  <si>
    <t>Histórico Escolar Frente</t>
  </si>
  <si>
    <t xml:space="preserve">Contato sem sucesso , E-mail enviado para cobrança 29/12 Ariana -Contato sem sucesso, Informação enviado por Whatsapp / Julio Cesar irá enviar a documentação hoje por volta de 17h40 30/12 </t>
  </si>
  <si>
    <t>Maria Regina Rocha Santos</t>
  </si>
  <si>
    <t>war1a.war1a1100@gmail.com</t>
  </si>
  <si>
    <t>Comprovante de Escolarida foto inteira / Comprovante Endereço foto inteira</t>
  </si>
  <si>
    <t xml:space="preserve">Enviado a informação por Whatsapp 30/12 -Ariana </t>
  </si>
  <si>
    <t>Rafael Souza de Jesus</t>
  </si>
  <si>
    <t>rafael.souza.2026@gmail.com</t>
  </si>
  <si>
    <t>Luís Felipe Silva Ferreira</t>
  </si>
  <si>
    <t>felipinho260206@gmail.com</t>
  </si>
  <si>
    <t xml:space="preserve">Contato com sucesso -Luís Felipe ciente da documentação pendente  05/01 -Ariana </t>
  </si>
  <si>
    <t>João Victor  Fernandes Andrade</t>
  </si>
  <si>
    <t>victor.andrade00002@gmail.com</t>
  </si>
  <si>
    <t>Não tem mais vaga</t>
  </si>
  <si>
    <t>Jadson de Jesus Nascimento</t>
  </si>
  <si>
    <t>jadsonnascimento96@yahoo.com.br</t>
  </si>
  <si>
    <t>Comprovante de Escolaridade Verso</t>
  </si>
  <si>
    <t xml:space="preserve">Enviado mensagem para documento pendente- Ariana 05/01 </t>
  </si>
  <si>
    <t>Eduardo Santos da Conceição</t>
  </si>
  <si>
    <t>eduardoconceicaos@hotmail.com</t>
  </si>
  <si>
    <t>Lucas Passos De Matos</t>
  </si>
  <si>
    <t>lucaspassos19832024@gmail.com</t>
  </si>
  <si>
    <t>joao francisco borges cristovao</t>
  </si>
  <si>
    <t>joao-fborges@hotmail.com</t>
  </si>
  <si>
    <t>Caetano de Jesus dos Santos</t>
  </si>
  <si>
    <t>scaetano501@gmail.com</t>
  </si>
  <si>
    <t>Mara Évelim Sousa Santos da Hora</t>
  </si>
  <si>
    <t>maraevelim2018@gmail.com</t>
  </si>
  <si>
    <t>Informação passada por whatsap ,aguardando envio do documento pendente 06/01  Informações enviada por e-mail- Ariana 08/01/ contato sem sucesso- camila 10/01 - ( Whatsapp e email enviado, cobrança para entrega da documentação com prazo  até 19/01  10:00 - Camila 17/01/26.</t>
  </si>
  <si>
    <t>Ismael Oliveira Lacerda Silva</t>
  </si>
  <si>
    <t>ismaeloliveiramart@gmail.com</t>
  </si>
  <si>
    <t xml:space="preserve">Informações passada por Whatsapp para cobrança de documento Pedentes-Ariana 06/01  -E-mail enviado para cobrança 08/01-Ariana </t>
  </si>
  <si>
    <t>João Guilherme Vila Flor de Farias</t>
  </si>
  <si>
    <t>vilaflorjoao@gmail.com</t>
  </si>
  <si>
    <t>saulo</t>
  </si>
  <si>
    <t>comprovante de escolaridade</t>
  </si>
  <si>
    <t xml:space="preserve">Informações passada por Whatsapp para cobrança de documento Pedentes-Ariana 06/01  </t>
  </si>
  <si>
    <t>Deivide Carvalho dos Anjos</t>
  </si>
  <si>
    <t>deivide.crv@gmail.com</t>
  </si>
  <si>
    <t>Kaio Nascimento dos Santos</t>
  </si>
  <si>
    <t>Kaionascimentosantos09@gmail.comk</t>
  </si>
  <si>
    <t>Pedro Ferreira da Silva Ribeiro</t>
  </si>
  <si>
    <t>mrrs20@hotmail.com</t>
  </si>
  <si>
    <t xml:space="preserve">Email de cobrança enviado para documentação pendente - Teve retorno da parte de Marcos , respon. por Pedro , segundo ele a documentação so poderar ser solicitada dia 19.01 pós o colégio Militar se encontra em recesso- 06/01 -Ariana  Contato sem sucesso /-Ariana </t>
  </si>
  <si>
    <t>Felipe Miranda Silva de Jesus</t>
  </si>
  <si>
    <t>felipemirandasilva01@gmail.com</t>
  </si>
  <si>
    <t>todos os documentos</t>
  </si>
  <si>
    <t xml:space="preserve">Cobrança enviada por e-mail -Ariana 06/01 - Felipe Miranda , informou por telefone o desejo para mudança de Curso Manutenção Automativa -  Ariana 07/01 no contato de hoje via telefone o senhor Felipe informou que irá manter o curso de ADS, Foi passado um e-mail para confirmação do curso atual  -Ariana 08/01 </t>
  </si>
  <si>
    <t>Elaine Bomfim de Almeida</t>
  </si>
  <si>
    <t>lanealmeida_bomfim@hotmail.com</t>
  </si>
  <si>
    <t>(71)99101-8460</t>
  </si>
  <si>
    <t>Comprovante de Endereço</t>
  </si>
  <si>
    <t xml:space="preserve">Cobrança enviada por e-mail -Ariana 06/01 </t>
  </si>
  <si>
    <t>Adam Enrique da Silva Santos</t>
  </si>
  <si>
    <t>dasilvasantosadam@gmail.com</t>
  </si>
  <si>
    <t>Arthur Razoni Costa</t>
  </si>
  <si>
    <t>razoniarth00@gmail.com</t>
  </si>
  <si>
    <t xml:space="preserve">Contato sem sucesso /Informações enviada por e-mail / Arthur deu retorno por telefone , falando que iria providênciar a documentação -06.01-Ariana </t>
  </si>
  <si>
    <t>Vinicius dos Santos Sento Sé Costa</t>
  </si>
  <si>
    <t>viniciusscosta01@gmail.com</t>
  </si>
  <si>
    <t>João Felipe dos Santos Santana</t>
  </si>
  <si>
    <t>joaofelipesantos@hotmail.com.br</t>
  </si>
  <si>
    <t>Raphael Silva Almeida</t>
  </si>
  <si>
    <t>raphaelalmeidasilva17@gmail.com</t>
  </si>
  <si>
    <t>Jennifer Gonzaga dos Santos</t>
  </si>
  <si>
    <t>jennigonza2006@gmail.com</t>
  </si>
  <si>
    <t>Alexsandro Jesus Pedreira dos Santos</t>
  </si>
  <si>
    <t>clovisjrsabrina@gmail.com</t>
  </si>
  <si>
    <t>comprovante de residencia com senha, documento do responsável legal</t>
  </si>
  <si>
    <t xml:space="preserve">email de cobrança enviado 07/01 por Saulo./Informação enviada por Whatsapp-Ariana 07/01 </t>
  </si>
  <si>
    <t>Felipe Leandro de Barros Ferreira</t>
  </si>
  <si>
    <t>felipelbf@hotmail.com</t>
  </si>
  <si>
    <t>Gustavo Valença Ribeiro Couto</t>
  </si>
  <si>
    <t>ribeiro07c@gmail.com</t>
  </si>
  <si>
    <t>Jeferson Correia de Jesus Santos</t>
  </si>
  <si>
    <t>correriajeferson61@gmail.com</t>
  </si>
  <si>
    <t>Pedro</t>
  </si>
  <si>
    <t>Lucas Vieira Araujo</t>
  </si>
  <si>
    <t>lucasvieirabakugannovo@gmail.com</t>
  </si>
  <si>
    <t>Comprovante de residência antigo (mais de três meses) e em nome de outra pessoa</t>
  </si>
  <si>
    <t>Anexou um comprovante de endereço antigo com mais de três meses e em nome de outra pessoa. Foi enviado um e-mail solicitando o envio de comprovante atualizado</t>
  </si>
  <si>
    <t>Rafaela Jesus Dos Santos</t>
  </si>
  <si>
    <t>rafajesus5767@gmail.com</t>
  </si>
  <si>
    <t xml:space="preserve">Informação enviada por Whatsapp -Ariana 08/01 </t>
  </si>
  <si>
    <t>Raony Santos Batista</t>
  </si>
  <si>
    <t>raonysbatista@gmail.com</t>
  </si>
  <si>
    <t>Victor Souza Nascimento</t>
  </si>
  <si>
    <t>viktorsouza30@gmail.com</t>
  </si>
  <si>
    <t>Marcos Vinicius Gomes Santana</t>
  </si>
  <si>
    <t>vinyciusgomes11@gmail.com</t>
  </si>
  <si>
    <t>Laura Beatriz Silva da Rocha</t>
  </si>
  <si>
    <t>laura-beatriz96@hotmail.com</t>
  </si>
  <si>
    <t xml:space="preserve">E-mail enviado para cobrança de documento -Ariana 08/01 </t>
  </si>
  <si>
    <t>Yasmim Cintra Rosado</t>
  </si>
  <si>
    <t>yasmim2007@gmail.com</t>
  </si>
  <si>
    <t>Caroline Oliveira Bonfim Muniz</t>
  </si>
  <si>
    <t>krolmunniz@hotmail.com</t>
  </si>
  <si>
    <t xml:space="preserve">Comprovante de Escolaridade </t>
  </si>
  <si>
    <t xml:space="preserve">E-mail enviado para cobrança -Ariana 10.01 </t>
  </si>
  <si>
    <t>Vinicius Gonçalves Almeida Ventura Marinho Santos</t>
  </si>
  <si>
    <t>santosvinicius640hotmail@gmail.com</t>
  </si>
  <si>
    <t>Identidade Vencida S/Assinatura- Comprovante de Escolaridade .</t>
  </si>
  <si>
    <t>Contato sem sucesso - enviado o e-mail para cobrança do documentos-Ariana 10/01. Contato telefonico sem sucesso 14/01/2026 (Pedro). Enviado mensagem no megazap e e-mail dia 15/01/2026 (Pedro),(Whatsapp e email enviado, cobrança para entrega da documentação com prazo  até 19/01  10:00 - Camila 17/01/26)</t>
  </si>
  <si>
    <t>Helena Biscaia Raposo Mourão e Lima</t>
  </si>
  <si>
    <t>helena.limamourao@gmail.com</t>
  </si>
  <si>
    <t>Yago de Almeida Silva</t>
  </si>
  <si>
    <t>yagoa9750@gmail.com</t>
  </si>
  <si>
    <t>Lincoln Martins dos Santos</t>
  </si>
  <si>
    <t>lincoln00026@gmail.com</t>
  </si>
  <si>
    <t>Estevan costa Pereira Santos</t>
  </si>
  <si>
    <t>dea76@hotmail.com</t>
  </si>
  <si>
    <t>Luiz Felipe dos Santos de Assis</t>
  </si>
  <si>
    <t>felipeassisbl@gmail.com</t>
  </si>
  <si>
    <t>7199713-2329</t>
  </si>
  <si>
    <t>Dêivide Santos Mota</t>
  </si>
  <si>
    <t>deividemotta5@gmail.com</t>
  </si>
  <si>
    <t>7198392-5124</t>
  </si>
  <si>
    <t>Luan Roger Amorim</t>
  </si>
  <si>
    <t>rogerluan060@gmail.com</t>
  </si>
  <si>
    <t>7198863-5136</t>
  </si>
  <si>
    <t>João Manoel Almeida Pereira</t>
  </si>
  <si>
    <t>joaomalmeida5988@gmail.com</t>
  </si>
  <si>
    <t>(71)98450-8060</t>
  </si>
  <si>
    <t>Telefone mudo</t>
  </si>
  <si>
    <t>Contato telefônico sem sucesso em 15/01/2026 às 10:00 hs. E-mail e megazap enviados em 15/01/2026 às 10:05 hs. Ligação com sucesso  no dia 17/01/2026 - 11:17- Vai no colegio buscar o Historico.(Whatsapp e email enviado, cobrança para entrega da documentação com prazo até 19/01 10:00 - Camila 17/01/26)</t>
  </si>
  <si>
    <t>Hanani Nicolas Neres dos Santos Lima</t>
  </si>
  <si>
    <t>santoshanani20@gmail.com</t>
  </si>
  <si>
    <t>Historico Escolar Cortado</t>
  </si>
  <si>
    <t>Contato telefônico sem sucesso em 15/01/2026 às 10:45 hs. E-mail e megazap enviados em 15/01/2026 às 10:50 hs. (Pedro),(Whatsapp e email enviado, cobrança para entrega da documentação com prazo até 19/01 10:00 - Camila 17/01/26)</t>
  </si>
  <si>
    <t>Ailton Nunes Santos Junior</t>
  </si>
  <si>
    <t>ailtonnunes933@gmail.com</t>
  </si>
  <si>
    <t>Escolaridade verso e CNH atualizada</t>
  </si>
  <si>
    <t>Whatsapp e email enviado, cobrança para entrega da documentação com prazo até 19/01 10:00 - Camila 17/01/26.</t>
  </si>
  <si>
    <t>Tiego  de Sa Cruz</t>
  </si>
  <si>
    <t>tiegocruz94@gmail.com</t>
  </si>
  <si>
    <t>Warnei Souza ferreira Júnior</t>
  </si>
  <si>
    <t>warneisouza21@gmail.com</t>
  </si>
  <si>
    <t>João Márcio da Silva Lopes</t>
  </si>
  <si>
    <t>joaomarciolopes747@gmail.com</t>
  </si>
  <si>
    <t>Rafael de Almeida da Anunciação</t>
  </si>
  <si>
    <t>rafael.anunciacao270706@gmail.com</t>
  </si>
  <si>
    <t>7198487-8486</t>
  </si>
  <si>
    <t>Diego Barbosa Silva</t>
  </si>
  <si>
    <t>diegojw10@gmail.com</t>
  </si>
  <si>
    <t>7198269-3414</t>
  </si>
  <si>
    <t>Aguardando Tami verificar o documento -Camila 14/01/2026| matrícula autorizada- camila 15/01</t>
  </si>
  <si>
    <t>Darlan de Jesus Burys Oliveira</t>
  </si>
  <si>
    <t>ddarlan@outlook.com.br</t>
  </si>
  <si>
    <t>7198309-6695</t>
  </si>
  <si>
    <t>Leticia Nunes Braga</t>
  </si>
  <si>
    <t>leticiabraga10004@gmail.com</t>
  </si>
  <si>
    <t>(71)98402-6178</t>
  </si>
  <si>
    <t>Ana Clara Santos Brito</t>
  </si>
  <si>
    <t>rsb07630@gmail.com</t>
  </si>
  <si>
    <t>7199982-6071</t>
  </si>
  <si>
    <t>DOUGLAS CARVALHO DE ARAGAO SILVA</t>
  </si>
  <si>
    <t>lobo.aragao.silva@gmail.com</t>
  </si>
  <si>
    <t>Gabriel cortes de Santana Santos</t>
  </si>
  <si>
    <t>gabrielcortes641@gmail.com</t>
  </si>
  <si>
    <t>E-MAIL DE COBRANÇA E WHATSAPP ENVIADO  COM PRAZO 19/01 ATÉ AS 10H-CAMILA 17/01</t>
  </si>
  <si>
    <t>Pérola França Cardoso</t>
  </si>
  <si>
    <t>pel.cardosofranca@gmail.com</t>
  </si>
  <si>
    <t>Raissa de Jesus dos Santos</t>
  </si>
  <si>
    <t>raissajesus2020@gmail.com</t>
  </si>
  <si>
    <t>(71)98217-0515</t>
  </si>
  <si>
    <t>RG do responsavél Legal</t>
  </si>
  <si>
    <t>Ivo Gabriel Damascena Santana</t>
  </si>
  <si>
    <t>gabrielwisty@gmail.con</t>
  </si>
  <si>
    <t>JADSON REIS RAMOS DOS SANTOS</t>
  </si>
  <si>
    <t>jadsonreis87@hotmail.com</t>
  </si>
  <si>
    <t>Jordan Santos do Nascimento</t>
  </si>
  <si>
    <t>nascimentojordan08@gmail.com</t>
  </si>
  <si>
    <t>7198351-2164</t>
  </si>
  <si>
    <t>Comprovante de escolaridade Atualizado/Comprovante de endereço estar cortado.</t>
  </si>
  <si>
    <t>Luiz Henrique Queiroz Pita</t>
  </si>
  <si>
    <t>lh343968@gmail.com</t>
  </si>
  <si>
    <t>Jorge dos Anjos Araújo</t>
  </si>
  <si>
    <t>jorgearaujo20@gmail.com</t>
  </si>
  <si>
    <t>7198750-9276</t>
  </si>
  <si>
    <t>João Pablo de Sousa Amaral</t>
  </si>
  <si>
    <t>jpamaral0606@yahoo.com</t>
  </si>
  <si>
    <t>Comprovante de escolaridade(Apresento Declaração da Faculdade/Comprovante de endereço com senha</t>
  </si>
  <si>
    <t>Jeferson Costa de Oliveira</t>
  </si>
  <si>
    <t>j2comunicacaossa@gmail.com</t>
  </si>
  <si>
    <t>Hugo Pinto Bustamante</t>
  </si>
  <si>
    <t>HPBEUA@GMAIL.COM</t>
  </si>
  <si>
    <t>Cicero Jesus dos Santos</t>
  </si>
  <si>
    <t>panetonnejs@gmail.com</t>
  </si>
  <si>
    <t>Lucas Oliveira Faria da Silva</t>
  </si>
  <si>
    <t>oliveflucas@gmail.com</t>
  </si>
  <si>
    <t>Maria Luiza Ribeiro Faro</t>
  </si>
  <si>
    <t>faroluiza30@gmail.com</t>
  </si>
  <si>
    <t>João Pedro Vieira Santos</t>
  </si>
  <si>
    <t>jpmv1204@gmail.com</t>
  </si>
  <si>
    <t>7199278-6430</t>
  </si>
  <si>
    <t>Luan Viana de Souza</t>
  </si>
  <si>
    <t>luluvianna20@gmail.com</t>
  </si>
  <si>
    <t>Frente do Historico Escolar</t>
  </si>
  <si>
    <t>Icaro Oliveira de Jesus</t>
  </si>
  <si>
    <t>icarooliveira447@gmail.com</t>
  </si>
  <si>
    <t>Comprovante de escolaridade Atualizado</t>
  </si>
  <si>
    <t>Flávio de Jesus Santos</t>
  </si>
  <si>
    <t>flaviosantos8401@gmail.com</t>
  </si>
  <si>
    <t>E-mail de cobrança enviado com prazo 29/01 até às 16h. (Pedro - 28/01)</t>
  </si>
  <si>
    <t>CAUÃ DE OLIVEIRA DA CRUZ</t>
  </si>
  <si>
    <t>cauaolive750@gmail.com</t>
  </si>
  <si>
    <t>Emanuel Paulo Ferreira da Silva</t>
  </si>
  <si>
    <t>emanuel58358h@gmail.com</t>
  </si>
  <si>
    <t>Pedro Gabriel Viana Gama</t>
  </si>
  <si>
    <t>pedro.gama2010@gmail.com</t>
  </si>
  <si>
    <t>7199348-5430</t>
  </si>
  <si>
    <t>Valdiney Gonçalves nascimento dos santos</t>
  </si>
  <si>
    <t>Jeanajeanasantos@gmail.com</t>
  </si>
  <si>
    <t>Mariana Oliveira Monteiro</t>
  </si>
  <si>
    <t>dramarianaom25@gmail.com</t>
  </si>
  <si>
    <t>Felipe Magalhães Machado</t>
  </si>
  <si>
    <t>magalhaesfelipe46@gmail.com</t>
  </si>
  <si>
    <t>Clara Muniz Silva Fraga</t>
  </si>
  <si>
    <t>claramunizsf@gmail.com</t>
  </si>
  <si>
    <t>José Mário Rodrigues Costa Villaça</t>
  </si>
  <si>
    <t>villacajuli2000@gmail.com</t>
  </si>
  <si>
    <t>Rafael Juan de Jesus Nascimento</t>
  </si>
  <si>
    <t>rafaeljuan388@gmail.com</t>
  </si>
  <si>
    <t>Davi Ogando</t>
  </si>
  <si>
    <t>neimabds391@gmail.com</t>
  </si>
  <si>
    <t>JEANDERSON SANTOS DOS SANTOS</t>
  </si>
  <si>
    <t>bubertalo@gmail.com</t>
  </si>
  <si>
    <t>Comprovante de escolaridade  verso incluir</t>
  </si>
  <si>
    <t>Rony Queiroz Souza</t>
  </si>
  <si>
    <t>fideliosswin@gmail.com</t>
  </si>
  <si>
    <t>Luis Carlos Sousa de jesus</t>
  </si>
  <si>
    <t>ratok2@gmail.com</t>
  </si>
  <si>
    <t>JOAO VITOR ANDRADE DE CARVALHO</t>
  </si>
  <si>
    <t>vitorjav@gmail.com</t>
  </si>
  <si>
    <t>Ruan Silva de Jesus santos</t>
  </si>
  <si>
    <t>rurubrsilva20200@gmail.com</t>
  </si>
  <si>
    <t>(71)99666-1650</t>
  </si>
  <si>
    <t>Luis Gustavo Lopes das Virgens</t>
  </si>
  <si>
    <t>luisgustavo9929@gmail.com</t>
  </si>
  <si>
    <t>RICCO BOMFIM SANTANA BATISTA</t>
  </si>
  <si>
    <t>riccobomfim7@gmail.com</t>
  </si>
  <si>
    <t>Comprovante de Endereço com senha.</t>
  </si>
  <si>
    <t>Kaique Costa martins da silva</t>
  </si>
  <si>
    <t>marketingmartins88@gmail.com</t>
  </si>
  <si>
    <t>MARCOS ANTONIO SANTOS TORRES</t>
  </si>
  <si>
    <t>marcos.torres40@hotmail.com</t>
  </si>
  <si>
    <t>Faleis com aluno 26/01/2026 -15:39, vai enviar documento por e-mail.</t>
  </si>
  <si>
    <t>Isac Lucas Conceição da Paixão</t>
  </si>
  <si>
    <t>isaclucas016@gmail.com</t>
  </si>
  <si>
    <t>Gabriel Vitor Borges Menezes</t>
  </si>
  <si>
    <t>bielst00xx18@outlook.com</t>
  </si>
  <si>
    <t>Wellington Souza dos Santos</t>
  </si>
  <si>
    <t>longabr751@gmail.com</t>
  </si>
  <si>
    <t>Mateus souza santos</t>
  </si>
  <si>
    <t>mateus961good@gmail.com</t>
  </si>
  <si>
    <t>Esther Batista Macieira De Almeida</t>
  </si>
  <si>
    <t>almeidaesther534@gmail.com</t>
  </si>
  <si>
    <t>Leonardo Santana de Oliveira</t>
  </si>
  <si>
    <t>Leonardosantana21@gmail.com</t>
  </si>
  <si>
    <t>João Victor Carrascosa Daniel</t>
  </si>
  <si>
    <t>jvcd2301@gmail.com</t>
  </si>
  <si>
    <t>KAUA KEVEN DE OLIVEIRA SANTOS</t>
  </si>
  <si>
    <t>kauakevendeoliveirasantos@gmail.com</t>
  </si>
  <si>
    <t>Marcus Vinícius Sousa de Sena</t>
  </si>
  <si>
    <t>marcossena3421@gmail.com</t>
  </si>
  <si>
    <t>Mateus Mendes Costa</t>
  </si>
  <si>
    <t>mathieusmendes@gmail.com</t>
  </si>
  <si>
    <t>Jeniffer Sousa dos Santos</t>
  </si>
  <si>
    <t>jeniffersousa272208@gmail.com</t>
  </si>
  <si>
    <t>comprovante de escolaridade de 1º ano</t>
  </si>
  <si>
    <t>Luis Fernando Jesus da Silva</t>
  </si>
  <si>
    <t>carlosjdejesus96@gmail.com</t>
  </si>
  <si>
    <t>Paulo Emanuel do Carmo Calmon</t>
  </si>
  <si>
    <t>brancoinformatica@yahoo.com.br</t>
  </si>
  <si>
    <t>Gilmar Meira Costa</t>
  </si>
  <si>
    <t>meiragilmar3@gmail.com</t>
  </si>
  <si>
    <t>Gabriel Torres Chaves</t>
  </si>
  <si>
    <t>lucivalchaves@hotmail.com</t>
  </si>
  <si>
    <t>Lucas Palmeira Nunes</t>
  </si>
  <si>
    <t>lucaspalmeiranunes@gmail.com</t>
  </si>
  <si>
    <t>Álvaro Nunes Maia Ribeiro</t>
  </si>
  <si>
    <t>alvaromaia25@gmail.com</t>
  </si>
  <si>
    <t>Isaac Oliveira Silva</t>
  </si>
  <si>
    <t>isaacoliveiraf2@gmail.com</t>
  </si>
  <si>
    <t>7198395-3064</t>
  </si>
  <si>
    <t>Eduarda Erik Silva Santana</t>
  </si>
  <si>
    <t>eduerick15@gmail.com</t>
  </si>
  <si>
    <t>Não coloco as documentação correta.</t>
  </si>
  <si>
    <t>Luan Barbosa Sena</t>
  </si>
  <si>
    <t>senaluan61@gmail.com</t>
  </si>
  <si>
    <t>Rafael Santos dos Reis</t>
  </si>
  <si>
    <t>rafael.s.reis2006@gmail.com</t>
  </si>
  <si>
    <t>Tiago dos Santos Cruz</t>
  </si>
  <si>
    <t>tiago71722@gmail.com</t>
  </si>
  <si>
    <t>7199675-1177</t>
  </si>
  <si>
    <t>Matheus da Cruz Teixeira Almeida</t>
  </si>
  <si>
    <t>matheus.lego@gmail.com</t>
  </si>
  <si>
    <t>7199331-9003</t>
  </si>
  <si>
    <t>João Manuel Santos</t>
  </si>
  <si>
    <t>sjoaomanuel08@gmail.com</t>
  </si>
  <si>
    <t>7199132-1873</t>
  </si>
  <si>
    <t>ALINE DE SOUZA IMPROTA</t>
  </si>
  <si>
    <t>improtaline@gmail.com</t>
  </si>
  <si>
    <t>Miguel Pereira Sena da Silva</t>
  </si>
  <si>
    <t>senaadv81@gmail.com</t>
  </si>
  <si>
    <t>Daniel Costa Reis</t>
  </si>
  <si>
    <t>daniel.costa.diana@gmail.com</t>
  </si>
  <si>
    <t>Antônio Carlos Gomes Guimarães Júnior</t>
  </si>
  <si>
    <t>tonycggjunior@gmail.com</t>
  </si>
  <si>
    <t>Pedro Henrique Silva Borges</t>
  </si>
  <si>
    <t>simonefernandes4378@gmail.com</t>
  </si>
  <si>
    <t>Shamar Alves De Jesus Araújo</t>
  </si>
  <si>
    <t>shamaralvesdejesusaraujo@gmail.com</t>
  </si>
  <si>
    <t>Andrey Caique Fonseca da Cruz</t>
  </si>
  <si>
    <t>anapauladomingosdafonseca@gmail.com</t>
  </si>
  <si>
    <t>Gabriel de Souza Gomes</t>
  </si>
  <si>
    <t>gabrielsouza22255@gmail.com</t>
  </si>
  <si>
    <t>Levi Araujo dos Santos</t>
  </si>
  <si>
    <t>wadinho.s@gmail.com</t>
  </si>
  <si>
    <t>Leonardo Murilo Pimentel Santana</t>
  </si>
  <si>
    <t>shirleypimentel2008@yahoo.com.br</t>
  </si>
  <si>
    <t>Kaynan Dias Melo Santos</t>
  </si>
  <si>
    <t>kaynandms22@gmail.com</t>
  </si>
  <si>
    <t>Thailan Santos de Oliveira</t>
  </si>
  <si>
    <t>thailansantosdeoliveira@gmail.com</t>
  </si>
  <si>
    <t>Lucas Silva Reale Costa Lima</t>
  </si>
  <si>
    <t>lucassrealle@gmail.com</t>
  </si>
  <si>
    <t>Wellington Luis Conceição Lirio</t>
  </si>
  <si>
    <t>denecsantos@gmail.com</t>
  </si>
  <si>
    <t>Wellington Lirio</t>
  </si>
  <si>
    <t>well.lirio123@gmail.com</t>
  </si>
  <si>
    <t>NATHALIA CRISTINE LIMA RIBEIRO</t>
  </si>
  <si>
    <t>nathaliacristine15@outlook.com</t>
  </si>
  <si>
    <t>BRUNA SANTOS ALVAREZ</t>
  </si>
  <si>
    <t>brunalvarezt@gmail.com</t>
  </si>
  <si>
    <t>Douglas dos Reis Silva</t>
  </si>
  <si>
    <t>douglassilvar14@gmail.com</t>
  </si>
  <si>
    <t>Judson Souza Natividade Santos</t>
  </si>
  <si>
    <t>judson788@outlook.com</t>
  </si>
  <si>
    <t>solasena10@gmail.com</t>
  </si>
  <si>
    <t>Miguel Puridade do Nascimento</t>
  </si>
  <si>
    <t>antonio02alves@gmail.com</t>
  </si>
  <si>
    <t>PAULO SERGIO DE SOUZA CELESTINO</t>
  </si>
  <si>
    <t>PAULO.SOUZA.SFC@GMAIL.COM</t>
  </si>
  <si>
    <t>Péricles Neves Santos</t>
  </si>
  <si>
    <t>pepemassa123@gmail.com</t>
  </si>
  <si>
    <t>Cauana Costa Dos Santos</t>
  </si>
  <si>
    <t>cauanac16@gmail.com</t>
  </si>
  <si>
    <t>Lucas Medeiros Santos</t>
  </si>
  <si>
    <t>lucasmedeirossantos26@gmail.com</t>
  </si>
  <si>
    <t>Histórico</t>
  </si>
  <si>
    <t>email enviado 03/02 com prazo de até 03/02 as 14h</t>
  </si>
  <si>
    <t>GUSTAVO NATHAN FERREIRA NERY</t>
  </si>
  <si>
    <t>miniboy.gustavo@gmail.com</t>
  </si>
  <si>
    <t>Guilherme Pinheiro Calhau Pereira</t>
  </si>
  <si>
    <t>guilhermecalhau69@gmail.com</t>
  </si>
  <si>
    <t>Período letivo</t>
  </si>
  <si>
    <t>PENDENCIA</t>
  </si>
  <si>
    <t>B101622</t>
  </si>
  <si>
    <t>Pedro Henrique Oliveira Wenceslau Soares</t>
  </si>
  <si>
    <t>pedrowsoa@gmail.com</t>
  </si>
  <si>
    <t>(71)99135-2419</t>
  </si>
  <si>
    <t>Não Chama</t>
  </si>
  <si>
    <t>Histórico Ensino médio</t>
  </si>
  <si>
    <t>Email enviado em 20/01/2026 às 09:58 hs. Candidato anexou um diploma de Bacharel em Biotecnologia.</t>
  </si>
  <si>
    <t>B101629</t>
  </si>
  <si>
    <t>Neemias Barbosa dos Santos</t>
  </si>
  <si>
    <t>contatoneemiasbarbosa@gmail.com</t>
  </si>
  <si>
    <t>7399843-4477</t>
  </si>
  <si>
    <t>Contato telefônico realizado em 20/01/2026 às 10:24 hs</t>
  </si>
  <si>
    <t>Email enviado em 20/01/2026 às 10:14 hs</t>
  </si>
  <si>
    <t>B101630</t>
  </si>
  <si>
    <t>João Pedro Dias Rodrigues</t>
  </si>
  <si>
    <t>XPEDRODIAS@ICLOUD.COM</t>
  </si>
  <si>
    <t>B101628</t>
  </si>
  <si>
    <t>João Lucas Menezes Gomes</t>
  </si>
  <si>
    <t>joaolucasmenezesgomes@gmail.com</t>
  </si>
  <si>
    <t>B101625</t>
  </si>
  <si>
    <t>Edvanildo Santos Amorim dos Santos</t>
  </si>
  <si>
    <t>edvanildos43@gmail.com</t>
  </si>
  <si>
    <t>Lucas Franco Santa Barbara Silva</t>
  </si>
  <si>
    <t>lucasfsb13@outlook.com</t>
  </si>
  <si>
    <t>Iúna Carlos Nascimento Santos</t>
  </si>
  <si>
    <t>iunansanto@gmail.com</t>
  </si>
  <si>
    <t>Maria Eduarda Santos Muniz</t>
  </si>
  <si>
    <t>duda445m@gmail.com</t>
  </si>
  <si>
    <t>KAILANY SANTOS DA CRUZ</t>
  </si>
  <si>
    <t>kailanysantos219@gmail.com</t>
  </si>
  <si>
    <t>NÃO FAZER</t>
  </si>
  <si>
    <t>TURMA T AGUARDAR</t>
  </si>
  <si>
    <t>Maria Luiza de Jesus Oliveira</t>
  </si>
  <si>
    <t>mluiza018oliveira@gmail.com</t>
  </si>
  <si>
    <t>B101626</t>
  </si>
  <si>
    <t>GLEYSON GERMANO ROCHA MEDEIROS</t>
  </si>
  <si>
    <t>gleysongermano@gmail.com</t>
  </si>
  <si>
    <t>B101631</t>
  </si>
  <si>
    <t>Lorena Magalhães Souza Conceição</t>
  </si>
  <si>
    <t>lorenamaglhaes21@gmail.com</t>
  </si>
  <si>
    <t>Histórico com conclusão do ensinp médio</t>
  </si>
  <si>
    <t>Maria Eduarda Dos Santos Silva</t>
  </si>
  <si>
    <t>eduarda3924@gmail.com</t>
  </si>
  <si>
    <t>Comprovante de endereço</t>
  </si>
  <si>
    <t>Hugo Oliveira Andrade dos Santos</t>
  </si>
  <si>
    <t>hugosantos.1010@gmail.com</t>
  </si>
  <si>
    <t>Gabriel Araujo Tranzillo</t>
  </si>
  <si>
    <t>senai.gabriel.cimatec@gmail.com</t>
  </si>
  <si>
    <t>João Pedro Bessa dos Santos</t>
  </si>
  <si>
    <t>joao123a165@hotmail.com</t>
  </si>
  <si>
    <t>ANDREY ALMEIDA CASTRO DE JESUS</t>
  </si>
  <si>
    <t>andreyacjesus@gmail.com</t>
  </si>
  <si>
    <t>Não atende</t>
  </si>
  <si>
    <t>Histórico Escolar e Comprovante de Endereço</t>
  </si>
  <si>
    <t>E-mail enviado em 20/01/2026 às 11:46 hs</t>
  </si>
  <si>
    <t>aluno com pendencia</t>
  </si>
  <si>
    <t>ANA GABRIELLE CORREIA BARBOSA</t>
  </si>
  <si>
    <t>barbosaanagabrielle93@gmail.com</t>
  </si>
  <si>
    <t>Alessandra de Melo dos Santos</t>
  </si>
  <si>
    <t>lessasotnas@gmail.com</t>
  </si>
  <si>
    <t>matriculado</t>
  </si>
  <si>
    <t>EDMILE LOPES BRITO</t>
  </si>
  <si>
    <t>edmilebritos@gmail.com</t>
  </si>
  <si>
    <t>Rafael Monte Santo Moura</t>
  </si>
  <si>
    <t>rafanocht@hotmail.com</t>
  </si>
  <si>
    <t>B101627</t>
  </si>
  <si>
    <t>Francisco das Virgens Conceição de Souza</t>
  </si>
  <si>
    <t>virgensf46@gmail.com</t>
  </si>
  <si>
    <t>RG DO RESPONSÁVEL</t>
  </si>
  <si>
    <t>B101623</t>
  </si>
  <si>
    <t>Cauê Vieira Lopes</t>
  </si>
  <si>
    <t>caue7650@gmail.com</t>
  </si>
  <si>
    <t>Kailany Santos da Cruz</t>
  </si>
  <si>
    <t>Beatriz Neves do Espirito Santo</t>
  </si>
  <si>
    <t>beatrizneves221@hotmail.com</t>
  </si>
  <si>
    <t>Gabriela Batista de Oliveira</t>
  </si>
  <si>
    <t>gabrielabatista1997@outlook.com</t>
  </si>
  <si>
    <t>Celine Leal Teive Argolo dos Santos</t>
  </si>
  <si>
    <t>celinelealteive@gmail.com</t>
  </si>
  <si>
    <t>Lavínia Menezes Vivas</t>
  </si>
  <si>
    <t>laviniavivas229@gmail.com</t>
  </si>
  <si>
    <t>Thaina Mesquita Barbosa</t>
  </si>
  <si>
    <t>thainamesquitab@gmail.com</t>
  </si>
  <si>
    <t>Eliseu dos Santos Cosme</t>
  </si>
  <si>
    <t>eliseucosme18@gmail.com</t>
  </si>
  <si>
    <t>Ana Gabrielle Correia Barbosa</t>
  </si>
  <si>
    <t>Agatha lorrane de Jesus Mota</t>
  </si>
  <si>
    <t>alorrane134@gmail.com</t>
  </si>
  <si>
    <t>celso emanuel berlink pereira</t>
  </si>
  <si>
    <t>e.7de2002salvador@gmail.com</t>
  </si>
  <si>
    <t>Enviado e-mail em 21/01/2026 às 12:14 hs. (Pedro)</t>
  </si>
  <si>
    <t>Jessika Cristina da Conceição Jácome Pinto Ribeiro</t>
  </si>
  <si>
    <t>Jessika.cristina.94214@gmail.com</t>
  </si>
  <si>
    <t>Vinícius São Pedro Rodrigues</t>
  </si>
  <si>
    <t>vinicius.rodrigues200x@gmail.com</t>
  </si>
  <si>
    <t>Sílvia Rocha dos Santos</t>
  </si>
  <si>
    <t>srocha2@hotmail.com</t>
  </si>
  <si>
    <t>Bruno dos Santos Pereira</t>
  </si>
  <si>
    <t>brunnosantos.arts@gmail.com</t>
  </si>
  <si>
    <t>Ricardo de Jesus Silva</t>
  </si>
  <si>
    <t>ricardojesussilva14@gmail.com</t>
  </si>
  <si>
    <t xml:space="preserve">Fala por tel Maria da Purificação -21/01/2026 ás 14:11Hs(Geovana </t>
  </si>
  <si>
    <t>Monique Loene Pinto De Oliveira</t>
  </si>
  <si>
    <t>moniqueloene@gmail.com</t>
  </si>
  <si>
    <t>Historico Escolar</t>
  </si>
  <si>
    <t>William Ronald Moura Moraes</t>
  </si>
  <si>
    <t>williamasensio20@gmail.com</t>
  </si>
  <si>
    <t>Email enviado em 21/01/2026 às 15:49 hs.</t>
  </si>
  <si>
    <t>Saulo Matos da Silva Santana</t>
  </si>
  <si>
    <t>matossaulo124@gmail.com</t>
  </si>
  <si>
    <t>Thiago de Jesus Correia</t>
  </si>
  <si>
    <t>thiagodejesuscorreia@gmail.com</t>
  </si>
  <si>
    <t>JEAN VITOR NASCIMENTO DA SILVA</t>
  </si>
  <si>
    <t>jean.nascimento1000@gmail.com</t>
  </si>
  <si>
    <t>Gustavo Conceição dos Santos Oliveira</t>
  </si>
  <si>
    <t>gustavodanielbarbara@gmail.com</t>
  </si>
  <si>
    <t>Víleri Rocha Avelino</t>
  </si>
  <si>
    <t>vileripeterson8@gmail.com</t>
  </si>
  <si>
    <t>Emily da Silva Santos</t>
  </si>
  <si>
    <t>emydesign1905@gmail.com</t>
  </si>
  <si>
    <t>Zoe Penelope Lopez Araújo</t>
  </si>
  <si>
    <t>makenalopezaraujo@gmail.com</t>
  </si>
  <si>
    <t>Lavínia Rosa da Silva</t>
  </si>
  <si>
    <t>lavinia.rosa1999@gmail.com</t>
  </si>
  <si>
    <t>PAULO VITOR CRUZ SANTOS</t>
  </si>
  <si>
    <t>paulovitorcruzsantos833@gmail.com</t>
  </si>
  <si>
    <t>Yasmin da Silva Rodrigues</t>
  </si>
  <si>
    <t>yas.rodrigues1309@gmail.com</t>
  </si>
  <si>
    <t>Matriculada</t>
  </si>
  <si>
    <t>Abel Jair Paixão Gomes</t>
  </si>
  <si>
    <t>abeljairpgs@gmail.com</t>
  </si>
  <si>
    <t>Historico Escolar  anexado foi  do 9º ano</t>
  </si>
  <si>
    <t>Letícia Oliveira Freire</t>
  </si>
  <si>
    <t>leoliveirafre@gmail.com</t>
  </si>
  <si>
    <t>Nadson Ferreira Santos de Souza</t>
  </si>
  <si>
    <t>nadsonferreira81@gmail.com</t>
  </si>
  <si>
    <t>Comprovante de Escolarida ( apresento comprovante da faculdade)</t>
  </si>
  <si>
    <t>Celso Emanuel Berlink Pereira</t>
  </si>
  <si>
    <t>Indira Oliveira Santos da Cruz</t>
  </si>
  <si>
    <t>enzoindira@gmail.com</t>
  </si>
  <si>
    <t>Gabriel Ribeiro dos Santos Teixeira</t>
  </si>
  <si>
    <t>gabriel13santosteixeira@gmail.com</t>
  </si>
  <si>
    <t>Carlos Henrique Santos Oliveira</t>
  </si>
  <si>
    <t>ocarloshenriqu3@gmail.com</t>
  </si>
  <si>
    <t>Rane Gabrielle de Oliveira Santos Reis</t>
  </si>
  <si>
    <t>adricarose@gmail.com</t>
  </si>
  <si>
    <t>Ana Clara Machado dos Santos</t>
  </si>
  <si>
    <t>anamachadodossantos05@gmail.com</t>
  </si>
  <si>
    <t>71982040110	      71982040110</t>
  </si>
  <si>
    <t>Heloisa Helena Lima de Oliveira</t>
  </si>
  <si>
    <t>hhloliveira@outlook.com</t>
  </si>
  <si>
    <t>Felipe Santana Silva Florsz</t>
  </si>
  <si>
    <t>felipeflorsz032@gmail.com</t>
  </si>
  <si>
    <t>Carina de Jesus Bispo dos Santos</t>
  </si>
  <si>
    <t>carinabispo17@outlook.com</t>
  </si>
  <si>
    <t>Rone Carlos da Silva FIlho</t>
  </si>
  <si>
    <t>ronecarlito@gmail.com</t>
  </si>
  <si>
    <t>Maria Luiza Pereira Cajuhy</t>
  </si>
  <si>
    <t>lulupereiracajuhy@gmail.com</t>
  </si>
  <si>
    <t>Walace Santos do Sacramento Flores</t>
  </si>
  <si>
    <t>walaces.s.f.12@gmail.com</t>
  </si>
  <si>
    <t>João Carlos de Jesus Silva</t>
  </si>
  <si>
    <t>contatojoao6502@gmail.com</t>
  </si>
  <si>
    <t>Alexsander Gabriel e Silva Marins</t>
  </si>
  <si>
    <t>alexsandergabrielmarins31@gmail.com</t>
  </si>
  <si>
    <t>Alana Cassia Praxedes Moreira</t>
  </si>
  <si>
    <t>nancassia@gmail.com</t>
  </si>
  <si>
    <t>7199222-5455</t>
  </si>
  <si>
    <t>Historico Escolar frente</t>
  </si>
  <si>
    <t>Livia Maria Dos Santos Leite</t>
  </si>
  <si>
    <t>luaateless@gmail.com</t>
  </si>
  <si>
    <t>Comprovante de Escolaridade, comprovante de endereço</t>
  </si>
  <si>
    <t>Ana Gabriela Alves Vieira</t>
  </si>
  <si>
    <t>anagab0017@gmail.com</t>
  </si>
  <si>
    <t>Livia Mendonça de Morais</t>
  </si>
  <si>
    <t>contatos.liviamendonca@gmail.com</t>
  </si>
  <si>
    <t>Caixa Postal</t>
  </si>
  <si>
    <t>Comprovante de Escolaridade (apresentou comprovante da faculdade)</t>
  </si>
  <si>
    <t>E-mail de cobrança enviado em 29/01/2026 às 11:55 hs. (Pedro)</t>
  </si>
  <si>
    <t>Talita Graça Araújo Pereira</t>
  </si>
  <si>
    <t>thallytatalis@gmail.com</t>
  </si>
  <si>
    <t>Robert Thiago Ferreira de Souza</t>
  </si>
  <si>
    <t>robertthiago364@gmail.com</t>
  </si>
  <si>
    <t>Yasmin Lima de Jesus</t>
  </si>
  <si>
    <t>ylima9383@gmail.com</t>
  </si>
  <si>
    <t>(71)98397-0886</t>
  </si>
  <si>
    <t>Italo Costa dos santos</t>
  </si>
  <si>
    <t>italocostadossantos1@gmail.com</t>
  </si>
  <si>
    <t>Monique Virginio da Silva</t>
  </si>
  <si>
    <t>moniquevirginiodasilva@gmail.com</t>
  </si>
  <si>
    <t>Nathalia Camille Almeida dos Santos</t>
  </si>
  <si>
    <t>nathcamillealmeida@gmail.com</t>
  </si>
  <si>
    <t>(71)99167-5876</t>
  </si>
  <si>
    <t>Comprovante de Escolaridade, RG E CPF aluna</t>
  </si>
  <si>
    <t>e-mail de cobrança enviado em 31/01/2026 àte as 16:00 hs. (Camila)</t>
  </si>
  <si>
    <t>ELIQUEICE RIBEIRO DOS SANTOS</t>
  </si>
  <si>
    <t>eliqueice555@gmail.com</t>
  </si>
  <si>
    <t>Leandro Coelho Dantas</t>
  </si>
  <si>
    <t>jailzajai10@gmail.com</t>
  </si>
  <si>
    <t>Maria Cláudia Alves da Silva</t>
  </si>
  <si>
    <t>mariaclaudiaalvesdasilva1@gmail.com</t>
  </si>
  <si>
    <t>Ana Julia Vinagre Lisboa</t>
  </si>
  <si>
    <t>anajulialisboaa@gmail.com</t>
  </si>
  <si>
    <t>B101624</t>
  </si>
  <si>
    <t>André Luís Silva Oliveira</t>
  </si>
  <si>
    <t>andreluis3245@gmail.com</t>
  </si>
  <si>
    <t>Epifanio Rodrigues de Souza Neto</t>
  </si>
  <si>
    <t>sz.epifanio75@gmail.com</t>
  </si>
  <si>
    <t>Comprovante de Escolaridade - Verso</t>
  </si>
  <si>
    <t>Mayane Ellen de Jesus de Souza</t>
  </si>
  <si>
    <t>profmayanesouza@gmail.com</t>
  </si>
  <si>
    <t>histórico</t>
  </si>
  <si>
    <t>email enviado 03/02 com prazo até 03/02 as 14h</t>
  </si>
  <si>
    <t xml:space="preserve">MUNICÍPIO </t>
  </si>
  <si>
    <t>CURSO</t>
  </si>
  <si>
    <t>TURNO</t>
  </si>
  <si>
    <t>VAGAS TOTAIS</t>
  </si>
  <si>
    <t>QUANTITATIVOS</t>
  </si>
  <si>
    <t>TOTAL</t>
  </si>
  <si>
    <t>ENEM (bolsa de estudo)</t>
  </si>
  <si>
    <t>CURSO PAGO</t>
  </si>
  <si>
    <t>PAGANTE</t>
  </si>
  <si>
    <t>BOLSISTA</t>
  </si>
  <si>
    <t>TOTAL BOLSISTA + PAGANTE</t>
  </si>
  <si>
    <t>SALDO DE VAGAS</t>
  </si>
  <si>
    <t>ANÁL. DOC.</t>
  </si>
  <si>
    <t>MAT</t>
  </si>
  <si>
    <t>TOTAL PAG.</t>
  </si>
  <si>
    <t>SALDO PAG.</t>
  </si>
  <si>
    <t>ANÁL. DOC</t>
  </si>
  <si>
    <t>TOTAL BOLS.</t>
  </si>
  <si>
    <t>SALDO BOLS.</t>
  </si>
  <si>
    <t>Salvador (Cimatec)</t>
  </si>
  <si>
    <t>Biotecnologia</t>
  </si>
  <si>
    <t>Matutino</t>
  </si>
  <si>
    <t>Desenvolvimento de Sistemas</t>
  </si>
  <si>
    <t>Noturno</t>
  </si>
  <si>
    <t xml:space="preserve">Eletrotécnica </t>
  </si>
  <si>
    <t xml:space="preserve">Logística </t>
  </si>
  <si>
    <t>Manutenção Automotiva</t>
  </si>
  <si>
    <t>Mecanica</t>
  </si>
  <si>
    <t xml:space="preserve">Mecatrônica </t>
  </si>
  <si>
    <t>Multimídia</t>
  </si>
  <si>
    <t xml:space="preserve">Petroquímica </t>
  </si>
  <si>
    <t xml:space="preserve">Redes de Computadores </t>
  </si>
  <si>
    <t>Contagem de Aluno</t>
  </si>
  <si>
    <t>Rótulos de Coluna</t>
  </si>
  <si>
    <t>Rótulos de Linha</t>
  </si>
  <si>
    <t>Total Geral</t>
  </si>
  <si>
    <t>PERIODO LETIVO</t>
  </si>
  <si>
    <t>TURMA</t>
  </si>
  <si>
    <t>SITUAÇÃO DA MATRÍCULA</t>
  </si>
  <si>
    <t>TIPO DE MATRÍCULA</t>
  </si>
  <si>
    <t>DATA DA MATRÍCULA</t>
  </si>
  <si>
    <t>NOME</t>
  </si>
  <si>
    <t>E-MAIL</t>
  </si>
  <si>
    <t>TELEFONE 1</t>
  </si>
  <si>
    <t>TELEFONE 2</t>
  </si>
  <si>
    <t>ATENDENTE</t>
  </si>
  <si>
    <t>DOCUMENTO</t>
  </si>
  <si>
    <t>CQP102885</t>
  </si>
  <si>
    <t>Mecânico de Usinagem Convencional</t>
  </si>
  <si>
    <t>VESPERTINO</t>
  </si>
  <si>
    <t>SAMUEL JESUS DE OLIVEIRA</t>
  </si>
  <si>
    <t>SAMUEEEL220@GMAIL.COM</t>
  </si>
  <si>
    <t>ROQUE COSTA ALVES JUNIOR</t>
  </si>
  <si>
    <t>ROQUEJR1202@GMAIL.COM</t>
  </si>
  <si>
    <t>YASMIN DE JESUS DOS ANJOS</t>
  </si>
  <si>
    <t>YANJOS525@GMAIL.COM</t>
  </si>
  <si>
    <t>ERICK LAZARO CERQUEIRA PAIM</t>
  </si>
  <si>
    <t>ERICKLAZAROCERQUEIRAPAIM@GMAIL.COM</t>
  </si>
  <si>
    <t>KEVEN GABRIEL LIMA LOPES</t>
  </si>
  <si>
    <t>KEUGBR@GMAIL.COM</t>
  </si>
  <si>
    <t>HOSANA SOUZA DE OLIVEIRA</t>
  </si>
  <si>
    <t>SOUZADEOLIVEIRAHOSANA40@GMAIL.COM</t>
  </si>
  <si>
    <t>LÁZARO RIBEIRO MOLINARI SANTOS</t>
  </si>
  <si>
    <t>LAZAROMOLINARIS@GMAIL.COM</t>
  </si>
  <si>
    <t>E-MAIL DE COBRANÇA ENVIADO COM PRAZO DE 15/01 ATÉ AS 10H- CAMILA 13/01| Tames, autorizou a matrícula- camila 15/01</t>
  </si>
  <si>
    <t>Aguardando Tami verificar o documento -Camila 14/01/2026</t>
  </si>
  <si>
    <t>PEDRO GUILHERME COSTA CERQUEIRA</t>
  </si>
  <si>
    <t>IANO271983@GMAIL.COM</t>
  </si>
  <si>
    <t>ENZO BRANDÃO DE ARAÚJO FONSECA</t>
  </si>
  <si>
    <t>ENZOBRANDAO22@GMAIL.COM</t>
  </si>
  <si>
    <t>MATHEUS UCHÔA CASTRO</t>
  </si>
  <si>
    <t>UCHOAMATHEUS34@GMAIL.COM</t>
  </si>
  <si>
    <t>Cauã Santos Silva</t>
  </si>
  <si>
    <t>cacaumario55@gmail.com</t>
  </si>
  <si>
    <t>Michele Simões Pereira</t>
  </si>
  <si>
    <t>michelespereiraa@gmail.com</t>
  </si>
  <si>
    <t>Geonava dos Santos Souza</t>
  </si>
  <si>
    <t>geovanadossantossouza144@gmail.com</t>
  </si>
  <si>
    <t>Cauan dos Santos Alves da Costa</t>
  </si>
  <si>
    <t>csac2345kli@gmail.com</t>
  </si>
  <si>
    <t>RUANN TUPINAMBÁ DO AMARAL</t>
  </si>
  <si>
    <t>ruantm0@gmail.com</t>
  </si>
  <si>
    <t>(71)98683-0396</t>
  </si>
  <si>
    <t>EMILY SOUZA DAS MERCÊS</t>
  </si>
  <si>
    <t>EMILYMERCES@GMAIL.COM</t>
  </si>
  <si>
    <t>(71)98823-1171</t>
  </si>
  <si>
    <t>Joyce De Melo Dos Santos</t>
  </si>
  <si>
    <t>MELOJOYCE139@GMAIL.COM</t>
  </si>
  <si>
    <t>(71)99302-4530</t>
  </si>
  <si>
    <t>Lucas Santos Vieira</t>
  </si>
  <si>
    <t>CLEIDE.JAQUELINECJ@GMAIL.COM</t>
  </si>
  <si>
    <t>Maiana Kelly Oliveira Souza Coelho</t>
  </si>
  <si>
    <t>MAIANAKELLY2020@GMAIL.COM</t>
  </si>
  <si>
    <t>Cauã Lopes Ribeiro</t>
  </si>
  <si>
    <t>CLOPESRIBEIRO17@GMAIL.COM</t>
  </si>
  <si>
    <t>Gustavo Bruno Cavalcante Custódio de Assis</t>
  </si>
  <si>
    <t>GUSTABRAZZSURGERY@GMAIL.COM</t>
  </si>
  <si>
    <t>BRUNA VITÓRIA SANTOS BISPO</t>
  </si>
  <si>
    <t>brunasantosbispo964@gmail.com</t>
  </si>
  <si>
    <t>(71)98238-1426</t>
  </si>
  <si>
    <t>GUILHERME TADEU CAJAIBA SANTOS</t>
  </si>
  <si>
    <t>GUIGAFOGO@GMAIL.COM</t>
  </si>
  <si>
    <t>(71)99126-9557</t>
  </si>
  <si>
    <t>ANTÔNIO DA CONCEIÇÃO MELO SIMPLÍCIO</t>
  </si>
  <si>
    <t>ASIMPLICIO010@GMAIL.COM</t>
  </si>
  <si>
    <t>(71)99671-0402</t>
  </si>
  <si>
    <t>Histórico  Escolar</t>
  </si>
  <si>
    <t>Anexou um recibo de pagamento da mensalidade escolar E-mail enviadoem 16/01/26 às 10:24 hs.</t>
  </si>
  <si>
    <t>YASMIN JESUS DOS SANTOS</t>
  </si>
  <si>
    <t>YASYASMIN433@GMAIL.COM</t>
  </si>
  <si>
    <t>(71)98233-0489</t>
  </si>
  <si>
    <t>EMANOELLE DO NASCIMENTO VILEMAN</t>
  </si>
  <si>
    <t>MISSVILEMAN04@GMAIL.COM</t>
  </si>
  <si>
    <t>(71)98301-6379</t>
  </si>
  <si>
    <t>RICARDO DAVI DE SOUZA SANTOS</t>
  </si>
  <si>
    <t>RICARDOSANTOSS1322@GMAIL.COM</t>
  </si>
  <si>
    <t>(71)99417-9095</t>
  </si>
  <si>
    <t>Gabriel Santos Santana</t>
  </si>
  <si>
    <t>gabrielsn5988@gmail.com</t>
  </si>
  <si>
    <t>(71)99933-2695</t>
  </si>
  <si>
    <t>Kauã de Jesus Souza</t>
  </si>
  <si>
    <t>kauasouza7066@gmail.com</t>
  </si>
  <si>
    <t>(71)99275-0573</t>
  </si>
  <si>
    <t>Caroline Santos Miranda Da Hora</t>
  </si>
  <si>
    <t>carolinemiranda2006@gmail.com</t>
  </si>
  <si>
    <t>(71)8404-3321</t>
  </si>
  <si>
    <t>(71)98301-6415</t>
  </si>
  <si>
    <t>GUILHERME LUSTOSA DA SILVA</t>
  </si>
  <si>
    <t>LUSTOSAGUILHERME280@GMAIL.COM</t>
  </si>
  <si>
    <t>GUILHERME PAIXÃO PEREIRA DOS SANTOS</t>
  </si>
  <si>
    <t>GUILHERMEPAIXAO121@GMAIL.COM</t>
  </si>
  <si>
    <t>KAIQUE OLIVEIRA DA SILVA</t>
  </si>
  <si>
    <t>KAIQUEKVCV@GMAIL.COM</t>
  </si>
  <si>
    <t>ADRIEL OLIVEIRA PEREIRA</t>
  </si>
  <si>
    <t>ADRIELTECHIE@GMAIL.COM</t>
  </si>
  <si>
    <t>Situação de matrícula</t>
  </si>
  <si>
    <t>R.A.</t>
  </si>
  <si>
    <t>FORMULA PARA TIRAR DUPLICADOS - DEIXAR MARCADO SÓ CURSO E NOME DO ALUNO - IR EM DADOS - REMOVER DUPLICADOS</t>
  </si>
  <si>
    <t>FÓRMULA IDENTIFICAR OS DUPLICADOS / REALÇAR PELO NOME - INICIO-FOMATAÇÃO CONDICIONAL - REALÇAR</t>
  </si>
  <si>
    <t>Lista de Status</t>
  </si>
  <si>
    <t>Documentação pendente</t>
  </si>
  <si>
    <t>Trancado</t>
  </si>
  <si>
    <t>Telefone errado</t>
  </si>
  <si>
    <t>Não terá o documento em tempo</t>
  </si>
  <si>
    <t>Desistiu da matricula</t>
  </si>
  <si>
    <r>
      <rPr>
        <sz val="12"/>
        <color rgb="FF000000"/>
        <rFont val="Calibri"/>
        <family val="2"/>
      </rPr>
      <t xml:space="preserve">PADRÃO DA CODIFICAÇÃO CASO SURJA </t>
    </r>
    <r>
      <rPr>
        <b/>
        <sz val="12"/>
        <color rgb="FF000000"/>
        <rFont val="Calibri"/>
        <family val="2"/>
      </rPr>
      <t>CAI TEC</t>
    </r>
  </si>
  <si>
    <t>Código de Curso mod. CAI-TEC</t>
  </si>
  <si>
    <t>Hab</t>
  </si>
  <si>
    <t>Matriz Curricular</t>
  </si>
  <si>
    <t>VALOR DE MENSALIDADEDO CURSO</t>
  </si>
  <si>
    <t>Período Letivo</t>
  </si>
  <si>
    <t>Código da Turma Pagante</t>
  </si>
  <si>
    <t>Turmas AVAS</t>
  </si>
  <si>
    <t>DR Parceiro</t>
  </si>
  <si>
    <t>Centro de Receita (Custo)</t>
  </si>
  <si>
    <t>DURAÇÃO DO CURSO</t>
  </si>
  <si>
    <t>OBS.</t>
  </si>
  <si>
    <t>STATUS</t>
  </si>
  <si>
    <t>TIPO DE GRATUIDADE</t>
  </si>
  <si>
    <t>Código</t>
  </si>
  <si>
    <t>Nome</t>
  </si>
  <si>
    <t xml:space="preserve">Alagoinhas </t>
  </si>
  <si>
    <t>Administração</t>
  </si>
  <si>
    <t>20252C</t>
  </si>
  <si>
    <t>CAI20252CHPADMT8</t>
  </si>
  <si>
    <t>N/A</t>
  </si>
  <si>
    <t>CTM - SC</t>
  </si>
  <si>
    <t>18 meses</t>
  </si>
  <si>
    <t>1- Gratuidade Regimental</t>
  </si>
  <si>
    <t>CAI20252CHPDEST5</t>
  </si>
  <si>
    <t>24 meses</t>
  </si>
  <si>
    <t xml:space="preserve">Eletromecânica </t>
  </si>
  <si>
    <t>CAI20252CHPEMCT13</t>
  </si>
  <si>
    <t>Turma_141</t>
  </si>
  <si>
    <t>Eletrotécnica</t>
  </si>
  <si>
    <t>CAI20252CHPELET8</t>
  </si>
  <si>
    <t>Turma_154</t>
  </si>
  <si>
    <t>Logística</t>
  </si>
  <si>
    <t>CAI20252CHPLOGT10</t>
  </si>
  <si>
    <t>Turma_142</t>
  </si>
  <si>
    <t>Segurança do Trabalho</t>
  </si>
  <si>
    <t>CAI20252CHPSEGT10</t>
  </si>
  <si>
    <t>Turma 98</t>
  </si>
  <si>
    <t>Barreiras</t>
  </si>
  <si>
    <t xml:space="preserve">Camaçari </t>
  </si>
  <si>
    <t>Edificações</t>
  </si>
  <si>
    <t>CAI20252CHPEDFT3</t>
  </si>
  <si>
    <t>Turma_205</t>
  </si>
  <si>
    <t xml:space="preserve">Feira de Santana </t>
  </si>
  <si>
    <t>Ilhéus</t>
  </si>
  <si>
    <t>Eletroeletrônica</t>
  </si>
  <si>
    <t>CAI20252CHPETRT3</t>
  </si>
  <si>
    <t>CTM - SP</t>
  </si>
  <si>
    <t>20252CHPSEGT10</t>
  </si>
  <si>
    <t>Jacobina</t>
  </si>
  <si>
    <t>20252CHPSEGT10-2</t>
  </si>
  <si>
    <t>Lançar na Filial de Juazeiro</t>
  </si>
  <si>
    <t>Jequié</t>
  </si>
  <si>
    <t>20252CHPELET8-2</t>
  </si>
  <si>
    <t>Lançar na Filial de Vitória da Conquista</t>
  </si>
  <si>
    <t>Juazeiro</t>
  </si>
  <si>
    <t>20252CHPADMT8</t>
  </si>
  <si>
    <t>20252CHPDEST5</t>
  </si>
  <si>
    <t>20252CHPEDFT3</t>
  </si>
  <si>
    <t>20252CHPEMCT13</t>
  </si>
  <si>
    <t>20252CHPELET8</t>
  </si>
  <si>
    <t xml:space="preserve">Lauro de Freitas </t>
  </si>
  <si>
    <t>20252CHPLOGT10</t>
  </si>
  <si>
    <t>Luís Eduardo Magalhães</t>
  </si>
  <si>
    <t>Salvador (Dendezeiros)</t>
  </si>
  <si>
    <t>Serrinha</t>
  </si>
  <si>
    <t>20252CHPADMT8-2</t>
  </si>
  <si>
    <t>Lançar na Filial de Feira de Santana</t>
  </si>
  <si>
    <t>Teixeira de Freitas</t>
  </si>
  <si>
    <t>Eletromecânica</t>
  </si>
  <si>
    <t>Vitória da Conquista</t>
  </si>
  <si>
    <t>TOTAL GERAL</t>
  </si>
  <si>
    <t>* Os valores indicados nesta Tabela, se referem as mensalidades do primeiro módulo e não representam o valor total do curso. O SENAI/DR/BA se reserva o direito de reajustar os valores das mensalidades e alterar a respectiva política de descontos.</t>
  </si>
  <si>
    <t>** Desconto promocional não cumulativo com outros descontos e válidos para matrícula de alunos ingressantes em 2025.1</t>
  </si>
  <si>
    <t>*** Desconto promocional para pagamento das mensalidades realizado até o dia 07 de cada mês.</t>
  </si>
  <si>
    <t>Cursos Semipresenciais</t>
  </si>
  <si>
    <t>Pagante</t>
  </si>
  <si>
    <t>Bolsista</t>
  </si>
  <si>
    <t>Sindicato/Competitividade</t>
  </si>
  <si>
    <t>CAITEC</t>
  </si>
  <si>
    <t>Gerencial</t>
  </si>
  <si>
    <t>B20252CHPADMT8</t>
  </si>
  <si>
    <t>SB20252CHPADMT8</t>
  </si>
  <si>
    <t>CAIT20252CHPADMT8</t>
  </si>
  <si>
    <t>G20252CHPADMT8</t>
  </si>
  <si>
    <t>B20252CHPDEST5</t>
  </si>
  <si>
    <t>SB20252CHPDEST5</t>
  </si>
  <si>
    <t>CAIT20252CHPDEST5</t>
  </si>
  <si>
    <t>G20252CHPDEST5</t>
  </si>
  <si>
    <t>B20252CHPEDFT3</t>
  </si>
  <si>
    <t>SB20252CHPEDFT3</t>
  </si>
  <si>
    <t>CAIT20252CHPEDFT3</t>
  </si>
  <si>
    <t>G20252CHPEDFT3</t>
  </si>
  <si>
    <t>20252CHPETRT3</t>
  </si>
  <si>
    <t>B20252CHPETRT3</t>
  </si>
  <si>
    <t>SB20252CHPETRT3</t>
  </si>
  <si>
    <t>CAIT20252CHPETRT3</t>
  </si>
  <si>
    <t>G20252CHPETRT3</t>
  </si>
  <si>
    <t>B20252CHPEMCT13</t>
  </si>
  <si>
    <t>SB20252CHPEMCT13</t>
  </si>
  <si>
    <t>CAIT20252CHPEMCT13</t>
  </si>
  <si>
    <t>G20252CHPEMCT13</t>
  </si>
  <si>
    <t>B20252CHPELET8</t>
  </si>
  <si>
    <t>SB20252CHPELET8</t>
  </si>
  <si>
    <t>CAIT20252CHPELET8</t>
  </si>
  <si>
    <t>G20252CHPELET8</t>
  </si>
  <si>
    <t>B20252CHPLOGT10</t>
  </si>
  <si>
    <t>SB20252CHPLOGT10</t>
  </si>
  <si>
    <t>CAIT20252CHPLOGT10</t>
  </si>
  <si>
    <t>G20252CHPLOGT10</t>
  </si>
  <si>
    <t>B20252CHPSEGT10</t>
  </si>
  <si>
    <t>SB20252CHPSEGT10</t>
  </si>
  <si>
    <t>CAIT20252CHPSEGT10</t>
  </si>
  <si>
    <t>G20252CHPSEGT10</t>
  </si>
  <si>
    <t>Cursos Presenciais</t>
  </si>
  <si>
    <t>Automação Industrial</t>
  </si>
  <si>
    <t>B99189</t>
  </si>
  <si>
    <t>CAIT99189</t>
  </si>
  <si>
    <t>G99189</t>
  </si>
  <si>
    <t>B99190</t>
  </si>
  <si>
    <t>CAIT99190</t>
  </si>
  <si>
    <t>G99190</t>
  </si>
  <si>
    <t>B99191</t>
  </si>
  <si>
    <t>CAIT99191</t>
  </si>
  <si>
    <t>G99191</t>
  </si>
  <si>
    <t>B99193</t>
  </si>
  <si>
    <t>CAIT99193</t>
  </si>
  <si>
    <t>G99193</t>
  </si>
  <si>
    <t>B99194</t>
  </si>
  <si>
    <t>CAIT99194</t>
  </si>
  <si>
    <t>G99194</t>
  </si>
  <si>
    <t>Química</t>
  </si>
  <si>
    <t>B99195</t>
  </si>
  <si>
    <t>CAIT99195</t>
  </si>
  <si>
    <t>G99195</t>
  </si>
  <si>
    <t>MUNICÍPIO</t>
  </si>
  <si>
    <t>MATRÍCULA (1a MENSALIDADE)</t>
  </si>
  <si>
    <t>VALOR *</t>
  </si>
  <si>
    <t>MATRÍCULA COM 40% DE DESCONTO **</t>
  </si>
  <si>
    <t>DEMAIS MENSALIDADES (DESCONTO DE 10% PARA PAGAMENTO ATÉ O DIA 07 DE CADA MÊS)***</t>
  </si>
  <si>
    <t xml:space="preserve">Vespertino </t>
  </si>
  <si>
    <t>Vespertino</t>
  </si>
  <si>
    <t>Refrigeração e Climatização</t>
  </si>
  <si>
    <t xml:space="preserve">TOTAL </t>
  </si>
  <si>
    <t>Luís Edurado Magalhães</t>
  </si>
  <si>
    <t>Agroindústria</t>
  </si>
  <si>
    <t>Mecânica</t>
  </si>
  <si>
    <t xml:space="preserve">Matutino </t>
  </si>
  <si>
    <t xml:space="preserve">Manutenção Automotiva </t>
  </si>
  <si>
    <t>ENCONTROS PRESENCIAIS</t>
  </si>
  <si>
    <t>MENSALIDADES</t>
  </si>
  <si>
    <t>DEMAIS MENSALIDADES (DESCONTO DE 10% PARA PAGAMENTO ATÉ O DIA 07 DE CADA MÊS</t>
  </si>
  <si>
    <t>Sábados de 8h40 às 12h40</t>
  </si>
  <si>
    <t>Sábados de 13h10 às 17h10</t>
  </si>
  <si>
    <t>Qualidade</t>
  </si>
  <si>
    <t>Terças-feiras de 18h às 22h</t>
  </si>
  <si>
    <t>Planejamento e Controle da Produção (PCP)</t>
  </si>
  <si>
    <t>Segundas-feiras de 18h às 22h</t>
  </si>
  <si>
    <t>Quintas-feiras de 18h às 22h</t>
  </si>
  <si>
    <t>Sábados de 9h às 13h</t>
  </si>
  <si>
    <t>Senhor do Bonfim</t>
  </si>
  <si>
    <t>Quartas-feiras de 18h às 22h</t>
  </si>
  <si>
    <t>Sextas-feiras de 18h às 22h</t>
  </si>
  <si>
    <t>Sábados de 13h às 17h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</si>
</sst>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name val="Courier New"/>
      <family val="3"/>
    </font>
    <font>
      <sz val="10"/>
      <color rgb="FF000000"/>
      <name val="Arial"/>
      <family val="2"/>
    </font>
    <font>
      <sz val="8"/>
      <name val="Courier New"/>
      <family val="3"/>
    </font>
    <font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60497A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000000"/>
      <name val="Abadi"/>
      <family val="2"/>
    </font>
    <font>
      <b/>
      <sz val="10"/>
      <color theme="1"/>
      <name val="Abad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</font>
    <font>
      <u/>
      <sz val="11"/>
      <color rgb="FF000000"/>
      <name val="Calibri"/>
      <family val="2"/>
      <scheme val="minor"/>
    </font>
    <font>
      <sz val="10"/>
      <color theme="1"/>
      <name val="Aptos Light"/>
      <family val="2"/>
    </font>
    <font>
      <u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9"/>
      <color rgb="FF000000"/>
      <name val="Calibri Light"/>
      <family val="2"/>
    </font>
    <font>
      <sz val="9"/>
      <color rgb="FFFF0000"/>
      <name val="Calibri Light"/>
      <family val="2"/>
    </font>
    <font>
      <sz val="9"/>
      <color theme="1"/>
      <name val="Calibri Light"/>
      <family val="2"/>
    </font>
    <font>
      <u/>
      <sz val="9"/>
      <color theme="1"/>
      <name val="Calibri Light"/>
      <family val="2"/>
    </font>
    <font>
      <u/>
      <sz val="9"/>
      <color theme="10"/>
      <name val="Calibri Light"/>
      <family val="2"/>
    </font>
    <font>
      <u/>
      <sz val="9"/>
      <color rgb="FF000000"/>
      <name val="Calibri Light"/>
      <family val="2"/>
    </font>
    <font>
      <sz val="9"/>
      <name val="Calibri Light"/>
      <family val="2"/>
    </font>
    <font>
      <u/>
      <sz val="9"/>
      <name val="Calibri Light"/>
      <family val="2"/>
    </font>
    <font>
      <sz val="11"/>
      <color theme="1"/>
      <name val="Calibri"/>
      <family val="2"/>
    </font>
    <font>
      <sz val="11"/>
      <color theme="1"/>
      <name val="Calibri Light"/>
      <family val="2"/>
    </font>
    <font>
      <sz val="11"/>
      <color rgb="FFFF0000"/>
      <name val="Calibri Light"/>
      <family val="2"/>
    </font>
    <font>
      <u/>
      <sz val="11"/>
      <color theme="10"/>
      <name val="Calibri Light"/>
      <family val="2"/>
    </font>
    <font>
      <sz val="11"/>
      <color rgb="FF000000"/>
      <name val="Calibri Light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ACF2BE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8ECA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</cellStyleXfs>
  <cellXfs count="686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4" fillId="2" borderId="0" xfId="0" applyFont="1" applyFill="1"/>
    <xf numFmtId="0" fontId="12" fillId="0" borderId="0" xfId="0" applyFont="1" applyAlignment="1">
      <alignment horizontal="left"/>
    </xf>
    <xf numFmtId="43" fontId="4" fillId="0" borderId="0" xfId="2" applyFont="1"/>
    <xf numFmtId="43" fontId="4" fillId="2" borderId="0" xfId="2" applyFont="1" applyFill="1"/>
    <xf numFmtId="43" fontId="4" fillId="2" borderId="0" xfId="0" applyNumberFormat="1" applyFont="1" applyFill="1"/>
    <xf numFmtId="43" fontId="11" fillId="0" borderId="0" xfId="2" applyFont="1" applyAlignment="1">
      <alignment horizontal="center" vertical="center"/>
    </xf>
    <xf numFmtId="43" fontId="4" fillId="0" borderId="0" xfId="2" applyFont="1" applyAlignment="1">
      <alignment horizontal="center"/>
    </xf>
    <xf numFmtId="0" fontId="14" fillId="2" borderId="0" xfId="0" applyFont="1" applyFill="1"/>
    <xf numFmtId="43" fontId="14" fillId="2" borderId="0" xfId="2" applyFont="1" applyFill="1"/>
    <xf numFmtId="43" fontId="14" fillId="2" borderId="0" xfId="0" applyNumberFormat="1" applyFont="1" applyFill="1"/>
    <xf numFmtId="0" fontId="14" fillId="0" borderId="0" xfId="0" applyFont="1"/>
    <xf numFmtId="0" fontId="13" fillId="2" borderId="0" xfId="0" applyFont="1" applyFill="1"/>
    <xf numFmtId="43" fontId="13" fillId="2" borderId="0" xfId="2" applyFont="1" applyFill="1"/>
    <xf numFmtId="0" fontId="13" fillId="0" borderId="0" xfId="0" applyFont="1"/>
    <xf numFmtId="0" fontId="14" fillId="0" borderId="0" xfId="0" applyFont="1" applyAlignment="1">
      <alignment wrapText="1"/>
    </xf>
    <xf numFmtId="43" fontId="14" fillId="0" borderId="0" xfId="0" applyNumberFormat="1" applyFont="1" applyAlignment="1">
      <alignment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43" fontId="14" fillId="0" borderId="0" xfId="2" applyFont="1" applyFill="1"/>
    <xf numFmtId="43" fontId="14" fillId="0" borderId="0" xfId="0" applyNumberFormat="1" applyFont="1"/>
    <xf numFmtId="43" fontId="4" fillId="0" borderId="0" xfId="2" applyFont="1" applyFill="1"/>
    <xf numFmtId="43" fontId="11" fillId="0" borderId="0" xfId="2" applyFont="1" applyBorder="1" applyAlignment="1">
      <alignment horizontal="center" vertical="center"/>
    </xf>
    <xf numFmtId="43" fontId="4" fillId="0" borderId="0" xfId="2" applyFont="1" applyBorder="1" applyAlignment="1">
      <alignment horizontal="center"/>
    </xf>
    <xf numFmtId="43" fontId="4" fillId="0" borderId="0" xfId="2" applyFont="1" applyBorder="1"/>
    <xf numFmtId="43" fontId="15" fillId="3" borderId="11" xfId="2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7" fillId="0" borderId="38" xfId="0" applyFont="1" applyBorder="1" applyAlignment="1">
      <alignment vertical="center" wrapText="1"/>
    </xf>
    <xf numFmtId="0" fontId="17" fillId="0" borderId="21" xfId="0" applyFont="1" applyBorder="1" applyAlignment="1">
      <alignment vertical="center" wrapText="1"/>
    </xf>
    <xf numFmtId="0" fontId="17" fillId="0" borderId="35" xfId="0" applyFont="1" applyBorder="1" applyAlignment="1">
      <alignment vertical="center" wrapText="1"/>
    </xf>
    <xf numFmtId="0" fontId="16" fillId="0" borderId="38" xfId="0" applyFont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17" fillId="0" borderId="16" xfId="0" applyFont="1" applyBorder="1" applyAlignment="1">
      <alignment vertical="center" wrapText="1"/>
    </xf>
    <xf numFmtId="0" fontId="15" fillId="3" borderId="10" xfId="0" applyFont="1" applyFill="1" applyBorder="1" applyAlignment="1">
      <alignment horizontal="center" vertical="center" wrapText="1"/>
    </xf>
    <xf numFmtId="43" fontId="15" fillId="3" borderId="10" xfId="2" applyFont="1" applyFill="1" applyBorder="1" applyAlignment="1">
      <alignment horizontal="center" vertical="center" wrapText="1"/>
    </xf>
    <xf numFmtId="43" fontId="15" fillId="3" borderId="9" xfId="2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center" vertical="center" wrapText="1"/>
    </xf>
    <xf numFmtId="43" fontId="16" fillId="0" borderId="29" xfId="2" applyFont="1" applyFill="1" applyBorder="1" applyAlignment="1">
      <alignment horizontal="center" vertical="center"/>
    </xf>
    <xf numFmtId="43" fontId="16" fillId="0" borderId="24" xfId="2" applyFont="1" applyFill="1" applyBorder="1" applyAlignment="1">
      <alignment horizontal="center" vertical="center"/>
    </xf>
    <xf numFmtId="43" fontId="16" fillId="0" borderId="24" xfId="2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center" vertical="center" wrapText="1"/>
    </xf>
    <xf numFmtId="43" fontId="16" fillId="0" borderId="21" xfId="2" applyFont="1" applyFill="1" applyBorder="1" applyAlignment="1">
      <alignment horizontal="center" vertical="center"/>
    </xf>
    <xf numFmtId="43" fontId="16" fillId="0" borderId="21" xfId="2" applyFont="1" applyFill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43" fontId="17" fillId="0" borderId="21" xfId="2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vertical="center"/>
    </xf>
    <xf numFmtId="0" fontId="16" fillId="0" borderId="21" xfId="0" applyFont="1" applyBorder="1" applyAlignment="1">
      <alignment horizontal="left" vertical="center"/>
    </xf>
    <xf numFmtId="43" fontId="16" fillId="0" borderId="21" xfId="2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43" fontId="16" fillId="0" borderId="29" xfId="2" applyFont="1" applyFill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17" fillId="0" borderId="21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43" fontId="17" fillId="0" borderId="29" xfId="2" applyFont="1" applyFill="1" applyBorder="1" applyAlignment="1">
      <alignment horizontal="center" vertical="center"/>
    </xf>
    <xf numFmtId="43" fontId="16" fillId="0" borderId="24" xfId="2" applyFont="1" applyBorder="1" applyAlignment="1">
      <alignment horizontal="center" vertical="center"/>
    </xf>
    <xf numFmtId="0" fontId="16" fillId="0" borderId="29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left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43" fontId="16" fillId="0" borderId="14" xfId="2" applyFont="1" applyFill="1" applyBorder="1" applyAlignment="1">
      <alignment horizontal="center" vertical="center"/>
    </xf>
    <xf numFmtId="43" fontId="16" fillId="0" borderId="14" xfId="2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6" fillId="0" borderId="35" xfId="0" applyFont="1" applyBorder="1" applyAlignment="1">
      <alignment vertical="center" wrapText="1"/>
    </xf>
    <xf numFmtId="0" fontId="16" fillId="0" borderId="35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43" fontId="16" fillId="0" borderId="35" xfId="2" applyFont="1" applyFill="1" applyBorder="1" applyAlignment="1">
      <alignment horizontal="center" vertical="center"/>
    </xf>
    <xf numFmtId="43" fontId="16" fillId="0" borderId="35" xfId="2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16" xfId="0" applyFont="1" applyBorder="1" applyAlignment="1">
      <alignment vertical="center"/>
    </xf>
    <xf numFmtId="0" fontId="16" fillId="0" borderId="16" xfId="0" applyFont="1" applyBorder="1" applyAlignment="1">
      <alignment horizontal="center" vertical="center" wrapText="1"/>
    </xf>
    <xf numFmtId="43" fontId="16" fillId="0" borderId="16" xfId="2" applyFont="1" applyFill="1" applyBorder="1" applyAlignment="1">
      <alignment horizontal="center" vertical="center"/>
    </xf>
    <xf numFmtId="43" fontId="16" fillId="0" borderId="16" xfId="2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8" xfId="0" applyFont="1" applyBorder="1" applyAlignment="1">
      <alignment vertical="center"/>
    </xf>
    <xf numFmtId="0" fontId="16" fillId="0" borderId="38" xfId="0" applyFont="1" applyBorder="1" applyAlignment="1">
      <alignment horizontal="center" vertical="center" wrapText="1"/>
    </xf>
    <xf numFmtId="43" fontId="16" fillId="0" borderId="38" xfId="2" applyFont="1" applyFill="1" applyBorder="1" applyAlignment="1">
      <alignment horizontal="center" vertical="center"/>
    </xf>
    <xf numFmtId="43" fontId="16" fillId="0" borderId="38" xfId="2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/>
    </xf>
    <xf numFmtId="0" fontId="16" fillId="0" borderId="35" xfId="0" applyFont="1" applyBorder="1" applyAlignment="1">
      <alignment vertical="center"/>
    </xf>
    <xf numFmtId="0" fontId="5" fillId="3" borderId="19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43" fontId="17" fillId="0" borderId="35" xfId="2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43" fontId="17" fillId="0" borderId="38" xfId="2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3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6" fillId="0" borderId="16" xfId="0" applyFont="1" applyBorder="1" applyAlignment="1">
      <alignment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43" fontId="17" fillId="0" borderId="16" xfId="2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7" fillId="0" borderId="29" xfId="0" applyFont="1" applyBorder="1" applyAlignment="1">
      <alignment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/>
    </xf>
    <xf numFmtId="0" fontId="21" fillId="0" borderId="0" xfId="0" applyFont="1"/>
    <xf numFmtId="0" fontId="12" fillId="0" borderId="0" xfId="0" applyFont="1"/>
    <xf numFmtId="0" fontId="24" fillId="10" borderId="27" xfId="0" applyFont="1" applyFill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5" fillId="3" borderId="43" xfId="0" applyFont="1" applyFill="1" applyBorder="1" applyAlignment="1">
      <alignment vertical="center" wrapText="1"/>
    </xf>
    <xf numFmtId="0" fontId="25" fillId="3" borderId="43" xfId="0" applyFont="1" applyFill="1" applyBorder="1" applyAlignment="1">
      <alignment horizontal="right" vertical="center" wrapText="1"/>
    </xf>
    <xf numFmtId="0" fontId="25" fillId="3" borderId="43" xfId="0" applyFont="1" applyFill="1" applyBorder="1" applyAlignment="1">
      <alignment vertical="center"/>
    </xf>
    <xf numFmtId="0" fontId="25" fillId="3" borderId="42" xfId="0" applyFont="1" applyFill="1" applyBorder="1" applyAlignment="1">
      <alignment horizontal="right" vertical="center" wrapText="1"/>
    </xf>
    <xf numFmtId="0" fontId="25" fillId="3" borderId="42" xfId="0" applyFont="1" applyFill="1" applyBorder="1" applyAlignment="1">
      <alignment vertical="center" wrapText="1"/>
    </xf>
    <xf numFmtId="0" fontId="25" fillId="3" borderId="0" xfId="0" applyFont="1" applyFill="1" applyAlignment="1">
      <alignment vertical="center" wrapText="1"/>
    </xf>
    <xf numFmtId="1" fontId="23" fillId="10" borderId="21" xfId="0" applyNumberFormat="1" applyFont="1" applyFill="1" applyBorder="1" applyAlignment="1">
      <alignment horizontal="center" vertical="center" wrapText="1"/>
    </xf>
    <xf numFmtId="1" fontId="23" fillId="0" borderId="21" xfId="0" applyNumberFormat="1" applyFont="1" applyBorder="1" applyAlignment="1">
      <alignment horizontal="center" vertical="center" wrapText="1"/>
    </xf>
    <xf numFmtId="1" fontId="23" fillId="0" borderId="35" xfId="0" applyNumberFormat="1" applyFont="1" applyBorder="1" applyAlignment="1">
      <alignment horizontal="center" vertical="center" wrapText="1"/>
    </xf>
    <xf numFmtId="0" fontId="23" fillId="3" borderId="43" xfId="0" applyFont="1" applyFill="1" applyBorder="1" applyAlignment="1">
      <alignment horizontal="center" vertical="center" wrapText="1"/>
    </xf>
    <xf numFmtId="0" fontId="23" fillId="3" borderId="43" xfId="0" applyFont="1" applyFill="1" applyBorder="1" applyAlignment="1">
      <alignment horizontal="center" vertical="center"/>
    </xf>
    <xf numFmtId="0" fontId="23" fillId="3" borderId="42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9" fillId="8" borderId="52" xfId="0" applyFont="1" applyFill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22" fillId="4" borderId="21" xfId="0" applyFont="1" applyFill="1" applyBorder="1" applyAlignment="1">
      <alignment horizontal="left" vertical="center" wrapText="1"/>
    </xf>
    <xf numFmtId="0" fontId="30" fillId="0" borderId="29" xfId="0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 wrapText="1"/>
    </xf>
    <xf numFmtId="0" fontId="22" fillId="0" borderId="29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21" xfId="0" applyFont="1" applyBorder="1" applyAlignment="1">
      <alignment vertical="center"/>
    </xf>
    <xf numFmtId="0" fontId="22" fillId="0" borderId="24" xfId="0" applyFont="1" applyBorder="1" applyAlignment="1">
      <alignment vertical="center"/>
    </xf>
    <xf numFmtId="0" fontId="22" fillId="0" borderId="24" xfId="0" applyFont="1" applyBorder="1" applyAlignment="1">
      <alignment horizontal="left" vertical="center"/>
    </xf>
    <xf numFmtId="0" fontId="22" fillId="0" borderId="21" xfId="0" applyFont="1" applyBorder="1" applyAlignment="1">
      <alignment vertical="center" wrapText="1"/>
    </xf>
    <xf numFmtId="0" fontId="22" fillId="0" borderId="29" xfId="0" applyFont="1" applyBorder="1" applyAlignment="1">
      <alignment vertical="center"/>
    </xf>
    <xf numFmtId="2" fontId="25" fillId="3" borderId="46" xfId="2" applyNumberFormat="1" applyFont="1" applyFill="1" applyBorder="1" applyAlignment="1">
      <alignment vertical="center"/>
    </xf>
    <xf numFmtId="2" fontId="25" fillId="3" borderId="8" xfId="2" applyNumberFormat="1" applyFont="1" applyFill="1" applyBorder="1" applyAlignment="1">
      <alignment vertical="center"/>
    </xf>
    <xf numFmtId="43" fontId="31" fillId="0" borderId="29" xfId="2" applyFont="1" applyFill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43" fontId="5" fillId="0" borderId="49" xfId="2" applyFont="1" applyFill="1" applyBorder="1" applyAlignment="1">
      <alignment horizontal="center" vertical="center" wrapText="1"/>
    </xf>
    <xf numFmtId="0" fontId="16" fillId="0" borderId="54" xfId="2" applyNumberFormat="1" applyFont="1" applyFill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54" xfId="2" applyNumberFormat="1" applyFont="1" applyBorder="1" applyAlignment="1">
      <alignment horizontal="center" vertical="center" wrapText="1"/>
    </xf>
    <xf numFmtId="0" fontId="5" fillId="0" borderId="54" xfId="0" applyFont="1" applyBorder="1" applyAlignment="1">
      <alignment vertical="center" wrapText="1"/>
    </xf>
    <xf numFmtId="0" fontId="37" fillId="0" borderId="54" xfId="0" applyFont="1" applyBorder="1" applyAlignment="1">
      <alignment horizontal="left" vertical="center"/>
    </xf>
    <xf numFmtId="0" fontId="5" fillId="0" borderId="54" xfId="0" applyFont="1" applyBorder="1" applyAlignment="1">
      <alignment vertical="center"/>
    </xf>
    <xf numFmtId="0" fontId="35" fillId="0" borderId="54" xfId="0" applyFont="1" applyBorder="1" applyAlignment="1">
      <alignment horizontal="left" vertical="center" wrapText="1"/>
    </xf>
    <xf numFmtId="0" fontId="35" fillId="3" borderId="54" xfId="0" applyFont="1" applyFill="1" applyBorder="1"/>
    <xf numFmtId="0" fontId="16" fillId="0" borderId="54" xfId="0" applyFont="1" applyBorder="1" applyAlignment="1">
      <alignment vertical="center" wrapText="1"/>
    </xf>
    <xf numFmtId="0" fontId="38" fillId="0" borderId="54" xfId="2" applyNumberFormat="1" applyFont="1" applyBorder="1" applyAlignment="1">
      <alignment horizontal="center" vertical="center" wrapText="1"/>
    </xf>
    <xf numFmtId="0" fontId="36" fillId="16" borderId="54" xfId="0" applyFont="1" applyFill="1" applyBorder="1"/>
    <xf numFmtId="0" fontId="16" fillId="0" borderId="54" xfId="0" applyFont="1" applyBorder="1" applyAlignment="1">
      <alignment horizontal="left" vertical="center" wrapText="1"/>
    </xf>
    <xf numFmtId="0" fontId="16" fillId="0" borderId="54" xfId="0" applyFont="1" applyBorder="1" applyAlignment="1">
      <alignment vertical="center"/>
    </xf>
    <xf numFmtId="0" fontId="16" fillId="0" borderId="54" xfId="0" applyFont="1" applyBorder="1" applyAlignment="1">
      <alignment horizontal="left" vertical="center"/>
    </xf>
    <xf numFmtId="0" fontId="35" fillId="3" borderId="57" xfId="0" applyFont="1" applyFill="1" applyBorder="1"/>
    <xf numFmtId="0" fontId="36" fillId="16" borderId="57" xfId="0" applyFont="1" applyFill="1" applyBorder="1" applyAlignment="1">
      <alignment horizontal="center"/>
    </xf>
    <xf numFmtId="0" fontId="36" fillId="16" borderId="54" xfId="0" applyFont="1" applyFill="1" applyBorder="1" applyAlignment="1">
      <alignment horizontal="center"/>
    </xf>
    <xf numFmtId="2" fontId="1" fillId="3" borderId="46" xfId="2" applyNumberFormat="1" applyFont="1" applyFill="1" applyBorder="1" applyAlignment="1">
      <alignment vertical="center"/>
    </xf>
    <xf numFmtId="2" fontId="1" fillId="3" borderId="8" xfId="2" applyNumberFormat="1" applyFont="1" applyFill="1" applyBorder="1" applyAlignment="1">
      <alignment vertical="center"/>
    </xf>
    <xf numFmtId="0" fontId="17" fillId="0" borderId="21" xfId="0" applyFont="1" applyBorder="1"/>
    <xf numFmtId="0" fontId="17" fillId="0" borderId="21" xfId="0" applyFont="1" applyBorder="1" applyAlignment="1">
      <alignment horizontal="center" wrapText="1"/>
    </xf>
    <xf numFmtId="49" fontId="13" fillId="13" borderId="21" xfId="0" applyNumberFormat="1" applyFont="1" applyFill="1" applyBorder="1" applyAlignment="1">
      <alignment horizontal="center" wrapText="1"/>
    </xf>
    <xf numFmtId="0" fontId="4" fillId="17" borderId="21" xfId="0" applyFont="1" applyFill="1" applyBorder="1" applyAlignment="1">
      <alignment horizontal="center" wrapText="1"/>
    </xf>
    <xf numFmtId="0" fontId="4" fillId="11" borderId="21" xfId="0" applyFont="1" applyFill="1" applyBorder="1" applyAlignment="1">
      <alignment horizontal="center" wrapText="1"/>
    </xf>
    <xf numFmtId="0" fontId="5" fillId="0" borderId="21" xfId="0" applyFont="1" applyBorder="1" applyAlignment="1">
      <alignment horizontal="left" vertical="center" wrapText="1"/>
    </xf>
    <xf numFmtId="49" fontId="40" fillId="11" borderId="57" xfId="0" applyNumberFormat="1" applyFont="1" applyFill="1" applyBorder="1" applyAlignment="1">
      <alignment horizontal="center" readingOrder="1"/>
    </xf>
    <xf numFmtId="0" fontId="0" fillId="0" borderId="21" xfId="0" applyBorder="1"/>
    <xf numFmtId="49" fontId="40" fillId="11" borderId="21" xfId="0" applyNumberFormat="1" applyFont="1" applyFill="1" applyBorder="1" applyAlignment="1">
      <alignment horizontal="center" wrapText="1" readingOrder="1"/>
    </xf>
    <xf numFmtId="49" fontId="40" fillId="11" borderId="21" xfId="0" applyNumberFormat="1" applyFont="1" applyFill="1" applyBorder="1" applyAlignment="1">
      <alignment horizontal="center" readingOrder="1"/>
    </xf>
    <xf numFmtId="49" fontId="41" fillId="11" borderId="21" xfId="0" applyNumberFormat="1" applyFont="1" applyFill="1" applyBorder="1" applyAlignment="1">
      <alignment horizontal="center" readingOrder="1"/>
    </xf>
    <xf numFmtId="49" fontId="40" fillId="2" borderId="57" xfId="0" applyNumberFormat="1" applyFont="1" applyFill="1" applyBorder="1" applyAlignment="1">
      <alignment horizontal="center" readingOrder="1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21" xfId="0" applyFont="1" applyBorder="1" applyAlignment="1">
      <alignment vertical="center"/>
    </xf>
    <xf numFmtId="49" fontId="14" fillId="0" borderId="2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5" fillId="0" borderId="23" xfId="0" applyFont="1" applyBorder="1" applyAlignment="1">
      <alignment vertical="center"/>
    </xf>
    <xf numFmtId="43" fontId="16" fillId="0" borderId="24" xfId="2" applyFont="1" applyFill="1" applyBorder="1" applyAlignment="1">
      <alignment horizontal="left" vertical="center"/>
    </xf>
    <xf numFmtId="43" fontId="21" fillId="0" borderId="21" xfId="2" applyFont="1" applyFill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5" fillId="0" borderId="26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3" borderId="18" xfId="0" applyFont="1" applyFill="1" applyBorder="1" applyAlignment="1">
      <alignment horizontal="right" vertical="center"/>
    </xf>
    <xf numFmtId="0" fontId="5" fillId="3" borderId="16" xfId="0" applyFont="1" applyFill="1" applyBorder="1" applyAlignment="1">
      <alignment horizontal="right" vertical="center"/>
    </xf>
    <xf numFmtId="0" fontId="5" fillId="3" borderId="16" xfId="0" applyFont="1" applyFill="1" applyBorder="1" applyAlignment="1">
      <alignment vertical="center" wrapText="1"/>
    </xf>
    <xf numFmtId="0" fontId="5" fillId="3" borderId="43" xfId="0" applyFont="1" applyFill="1" applyBorder="1" applyAlignment="1">
      <alignment vertical="center" wrapText="1"/>
    </xf>
    <xf numFmtId="0" fontId="5" fillId="3" borderId="31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/>
    </xf>
    <xf numFmtId="0" fontId="5" fillId="3" borderId="16" xfId="0" applyFont="1" applyFill="1" applyBorder="1" applyAlignment="1">
      <alignment horizontal="right" vertical="center" wrapText="1"/>
    </xf>
    <xf numFmtId="0" fontId="5" fillId="3" borderId="43" xfId="0" applyFont="1" applyFill="1" applyBorder="1" applyAlignment="1">
      <alignment horizontal="right" vertical="center" wrapText="1"/>
    </xf>
    <xf numFmtId="0" fontId="5" fillId="3" borderId="31" xfId="0" applyFont="1" applyFill="1" applyBorder="1" applyAlignment="1">
      <alignment horizontal="right" vertical="center" wrapText="1"/>
    </xf>
    <xf numFmtId="0" fontId="5" fillId="11" borderId="23" xfId="0" applyFont="1" applyFill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6" fillId="4" borderId="21" xfId="0" applyFont="1" applyFill="1" applyBorder="1" applyAlignment="1">
      <alignment horizontal="left" vertical="center" wrapText="1"/>
    </xf>
    <xf numFmtId="0" fontId="5" fillId="14" borderId="28" xfId="0" applyFont="1" applyFill="1" applyBorder="1" applyAlignment="1">
      <alignment vertical="center" wrapText="1"/>
    </xf>
    <xf numFmtId="0" fontId="16" fillId="4" borderId="24" xfId="0" applyFont="1" applyFill="1" applyBorder="1" applyAlignment="1">
      <alignment horizontal="left" vertical="center" wrapText="1"/>
    </xf>
    <xf numFmtId="0" fontId="5" fillId="3" borderId="43" xfId="0" applyFont="1" applyFill="1" applyBorder="1" applyAlignment="1">
      <alignment vertical="center"/>
    </xf>
    <xf numFmtId="0" fontId="5" fillId="3" borderId="31" xfId="0" applyFont="1" applyFill="1" applyBorder="1" applyAlignment="1">
      <alignment vertical="center"/>
    </xf>
    <xf numFmtId="0" fontId="5" fillId="13" borderId="1" xfId="0" applyFont="1" applyFill="1" applyBorder="1" applyAlignment="1">
      <alignment horizontal="left" vertical="center"/>
    </xf>
    <xf numFmtId="0" fontId="16" fillId="0" borderId="14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/>
    </xf>
    <xf numFmtId="0" fontId="16" fillId="0" borderId="24" xfId="0" applyFont="1" applyBorder="1" applyAlignment="1">
      <alignment vertical="center"/>
    </xf>
    <xf numFmtId="0" fontId="16" fillId="2" borderId="21" xfId="0" applyFont="1" applyFill="1" applyBorder="1" applyAlignment="1">
      <alignment horizontal="left" vertical="center" wrapText="1"/>
    </xf>
    <xf numFmtId="0" fontId="5" fillId="13" borderId="28" xfId="0" applyFont="1" applyFill="1" applyBorder="1" applyAlignment="1">
      <alignment vertical="center"/>
    </xf>
    <xf numFmtId="0" fontId="5" fillId="0" borderId="23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3" borderId="1" xfId="0" applyFont="1" applyFill="1" applyBorder="1" applyAlignment="1">
      <alignment horizontal="right" vertical="center"/>
    </xf>
    <xf numFmtId="0" fontId="5" fillId="3" borderId="14" xfId="0" applyFont="1" applyFill="1" applyBorder="1" applyAlignment="1">
      <alignment horizontal="right" vertical="center"/>
    </xf>
    <xf numFmtId="0" fontId="5" fillId="3" borderId="14" xfId="0" applyFont="1" applyFill="1" applyBorder="1" applyAlignment="1">
      <alignment horizontal="right" vertical="center" wrapText="1"/>
    </xf>
    <xf numFmtId="0" fontId="5" fillId="3" borderId="4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0" borderId="38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6" fillId="4" borderId="21" xfId="0" applyFont="1" applyFill="1" applyBorder="1" applyAlignment="1">
      <alignment vertical="center" wrapText="1"/>
    </xf>
    <xf numFmtId="0" fontId="5" fillId="0" borderId="35" xfId="0" applyFont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5" fillId="3" borderId="4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11" borderId="23" xfId="0" applyFont="1" applyFill="1" applyBorder="1" applyAlignment="1">
      <alignment vertical="center"/>
    </xf>
    <xf numFmtId="0" fontId="5" fillId="14" borderId="28" xfId="0" applyFont="1" applyFill="1" applyBorder="1" applyAlignment="1">
      <alignment vertical="center"/>
    </xf>
    <xf numFmtId="0" fontId="5" fillId="3" borderId="0" xfId="0" applyFont="1" applyFill="1" applyAlignment="1">
      <alignment vertical="center" wrapText="1"/>
    </xf>
    <xf numFmtId="0" fontId="5" fillId="3" borderId="33" xfId="0" applyFont="1" applyFill="1" applyBorder="1" applyAlignment="1">
      <alignment vertical="center" wrapText="1"/>
    </xf>
    <xf numFmtId="0" fontId="16" fillId="4" borderId="24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16" fillId="0" borderId="14" xfId="0" applyFont="1" applyBorder="1" applyAlignment="1">
      <alignment vertical="center"/>
    </xf>
    <xf numFmtId="0" fontId="5" fillId="3" borderId="41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2" fontId="5" fillId="3" borderId="46" xfId="2" applyNumberFormat="1" applyFont="1" applyFill="1" applyBorder="1" applyAlignment="1">
      <alignment vertical="center"/>
    </xf>
    <xf numFmtId="2" fontId="5" fillId="3" borderId="47" xfId="2" applyNumberFormat="1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2" fontId="5" fillId="3" borderId="8" xfId="2" applyNumberFormat="1" applyFont="1" applyFill="1" applyBorder="1" applyAlignment="1">
      <alignment vertical="center"/>
    </xf>
    <xf numFmtId="2" fontId="5" fillId="3" borderId="3" xfId="2" applyNumberFormat="1" applyFont="1" applyFill="1" applyBorder="1" applyAlignment="1">
      <alignment vertical="center"/>
    </xf>
    <xf numFmtId="0" fontId="23" fillId="0" borderId="54" xfId="0" applyFont="1" applyBorder="1" applyAlignment="1">
      <alignment horizontal="left" vertical="center"/>
    </xf>
    <xf numFmtId="49" fontId="4" fillId="17" borderId="21" xfId="0" applyNumberFormat="1" applyFont="1" applyFill="1" applyBorder="1" applyAlignment="1">
      <alignment horizontal="center" wrapText="1"/>
    </xf>
    <xf numFmtId="49" fontId="4" fillId="0" borderId="0" xfId="0" applyNumberFormat="1" applyFont="1"/>
    <xf numFmtId="1" fontId="14" fillId="0" borderId="21" xfId="0" applyNumberFormat="1" applyFont="1" applyBorder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1" fontId="4" fillId="0" borderId="54" xfId="0" applyNumberFormat="1" applyFont="1" applyBorder="1" applyAlignment="1">
      <alignment horizontal="center" vertical="center"/>
    </xf>
    <xf numFmtId="0" fontId="3" fillId="19" borderId="54" xfId="0" applyFont="1" applyFill="1" applyBorder="1" applyAlignment="1">
      <alignment vertical="center"/>
    </xf>
    <xf numFmtId="0" fontId="3" fillId="19" borderId="54" xfId="0" applyFont="1" applyFill="1" applyBorder="1" applyAlignment="1">
      <alignment horizontal="center" vertical="center"/>
    </xf>
    <xf numFmtId="1" fontId="3" fillId="19" borderId="54" xfId="0" applyNumberFormat="1" applyFont="1" applyFill="1" applyBorder="1" applyAlignment="1">
      <alignment horizontal="center" vertical="center"/>
    </xf>
    <xf numFmtId="49" fontId="14" fillId="0" borderId="64" xfId="0" applyNumberFormat="1" applyFont="1" applyBorder="1" applyAlignment="1">
      <alignment horizontal="center" wrapText="1"/>
    </xf>
    <xf numFmtId="49" fontId="14" fillId="0" borderId="53" xfId="0" applyNumberFormat="1" applyFont="1" applyBorder="1" applyAlignment="1">
      <alignment horizontal="center" wrapText="1"/>
    </xf>
    <xf numFmtId="0" fontId="4" fillId="17" borderId="35" xfId="0" applyFont="1" applyFill="1" applyBorder="1" applyAlignment="1">
      <alignment horizontal="center" wrapText="1"/>
    </xf>
    <xf numFmtId="1" fontId="3" fillId="19" borderId="70" xfId="0" applyNumberFormat="1" applyFont="1" applyFill="1" applyBorder="1" applyAlignment="1">
      <alignment horizontal="center" vertical="center"/>
    </xf>
    <xf numFmtId="1" fontId="3" fillId="0" borderId="54" xfId="0" applyNumberFormat="1" applyFont="1" applyBorder="1" applyAlignment="1">
      <alignment horizontal="center" vertical="center"/>
    </xf>
    <xf numFmtId="49" fontId="13" fillId="2" borderId="0" xfId="0" applyNumberFormat="1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19" borderId="71" xfId="0" applyFont="1" applyFill="1" applyBorder="1" applyAlignment="1">
      <alignment horizontal="center" vertical="center"/>
    </xf>
    <xf numFmtId="0" fontId="3" fillId="19" borderId="72" xfId="0" applyFont="1" applyFill="1" applyBorder="1" applyAlignment="1">
      <alignment horizontal="center" vertical="center"/>
    </xf>
    <xf numFmtId="0" fontId="35" fillId="20" borderId="21" xfId="0" applyFont="1" applyFill="1" applyBorder="1" applyAlignment="1">
      <alignment horizontal="left" vertical="center" wrapText="1"/>
    </xf>
    <xf numFmtId="0" fontId="43" fillId="20" borderId="21" xfId="0" applyFont="1" applyFill="1" applyBorder="1"/>
    <xf numFmtId="0" fontId="43" fillId="20" borderId="21" xfId="0" applyFont="1" applyFill="1" applyBorder="1" applyAlignment="1">
      <alignment horizontal="center" wrapText="1"/>
    </xf>
    <xf numFmtId="1" fontId="44" fillId="20" borderId="21" xfId="0" applyNumberFormat="1" applyFont="1" applyFill="1" applyBorder="1" applyAlignment="1">
      <alignment horizontal="center" wrapText="1"/>
    </xf>
    <xf numFmtId="0" fontId="44" fillId="20" borderId="21" xfId="0" applyFont="1" applyFill="1" applyBorder="1" applyAlignment="1">
      <alignment horizontal="center" wrapText="1"/>
    </xf>
    <xf numFmtId="49" fontId="44" fillId="20" borderId="64" xfId="0" applyNumberFormat="1" applyFont="1" applyFill="1" applyBorder="1" applyAlignment="1">
      <alignment horizontal="center" wrapText="1"/>
    </xf>
    <xf numFmtId="1" fontId="44" fillId="20" borderId="54" xfId="0" applyNumberFormat="1" applyFont="1" applyFill="1" applyBorder="1" applyAlignment="1">
      <alignment horizontal="center" vertical="center"/>
    </xf>
    <xf numFmtId="0" fontId="47" fillId="14" borderId="54" xfId="0" applyFont="1" applyFill="1" applyBorder="1" applyAlignment="1">
      <alignment horizontal="left"/>
    </xf>
    <xf numFmtId="0" fontId="47" fillId="0" borderId="0" xfId="0" applyFont="1" applyAlignment="1">
      <alignment horizontal="left"/>
    </xf>
    <xf numFmtId="14" fontId="47" fillId="0" borderId="0" xfId="0" applyNumberFormat="1" applyFont="1" applyAlignment="1">
      <alignment horizontal="left"/>
    </xf>
    <xf numFmtId="3" fontId="47" fillId="0" borderId="0" xfId="0" applyNumberFormat="1" applyFont="1" applyAlignment="1">
      <alignment horizontal="left"/>
    </xf>
    <xf numFmtId="0" fontId="47" fillId="14" borderId="54" xfId="0" applyFont="1" applyFill="1" applyBorder="1" applyAlignment="1">
      <alignment horizontal="left" wrapText="1"/>
    </xf>
    <xf numFmtId="0" fontId="47" fillId="0" borderId="0" xfId="0" applyFont="1" applyAlignment="1">
      <alignment horizontal="left" wrapText="1"/>
    </xf>
    <xf numFmtId="49" fontId="44" fillId="2" borderId="53" xfId="0" applyNumberFormat="1" applyFont="1" applyFill="1" applyBorder="1" applyAlignment="1">
      <alignment horizontal="center" wrapText="1"/>
    </xf>
    <xf numFmtId="49" fontId="44" fillId="2" borderId="21" xfId="0" applyNumberFormat="1" applyFont="1" applyFill="1" applyBorder="1" applyAlignment="1">
      <alignment horizontal="center" wrapText="1"/>
    </xf>
    <xf numFmtId="0" fontId="13" fillId="13" borderId="0" xfId="0" applyFont="1" applyFill="1" applyAlignment="1">
      <alignment vertical="center"/>
    </xf>
    <xf numFmtId="49" fontId="44" fillId="13" borderId="21" xfId="0" applyNumberFormat="1" applyFont="1" applyFill="1" applyBorder="1" applyAlignment="1">
      <alignment horizontal="center" wrapText="1"/>
    </xf>
    <xf numFmtId="0" fontId="42" fillId="0" borderId="0" xfId="12" applyAlignment="1">
      <alignment horizontal="left"/>
    </xf>
    <xf numFmtId="0" fontId="45" fillId="2" borderId="0" xfId="0" applyFont="1" applyFill="1" applyAlignment="1">
      <alignment wrapText="1"/>
    </xf>
    <xf numFmtId="0" fontId="47" fillId="20" borderId="0" xfId="0" applyFont="1" applyFill="1" applyAlignment="1">
      <alignment horizontal="left"/>
    </xf>
    <xf numFmtId="0" fontId="49" fillId="21" borderId="73" xfId="0" applyFont="1" applyFill="1" applyBorder="1" applyAlignment="1">
      <alignment readingOrder="1"/>
    </xf>
    <xf numFmtId="3" fontId="49" fillId="21" borderId="73" xfId="0" applyNumberFormat="1" applyFont="1" applyFill="1" applyBorder="1" applyAlignment="1">
      <alignment readingOrder="1"/>
    </xf>
    <xf numFmtId="0" fontId="49" fillId="21" borderId="74" xfId="0" applyFont="1" applyFill="1" applyBorder="1" applyAlignment="1">
      <alignment readingOrder="1"/>
    </xf>
    <xf numFmtId="3" fontId="49" fillId="21" borderId="74" xfId="0" applyNumberFormat="1" applyFont="1" applyFill="1" applyBorder="1" applyAlignment="1">
      <alignment readingOrder="1"/>
    </xf>
    <xf numFmtId="0" fontId="42" fillId="21" borderId="74" xfId="12" applyFill="1" applyBorder="1" applyAlignment="1">
      <alignment readingOrder="1"/>
    </xf>
    <xf numFmtId="0" fontId="47" fillId="2" borderId="0" xfId="0" applyFont="1" applyFill="1" applyAlignment="1">
      <alignment horizontal="left"/>
    </xf>
    <xf numFmtId="0" fontId="47" fillId="2" borderId="0" xfId="0" applyFont="1" applyFill="1" applyAlignment="1">
      <alignment horizontal="left" wrapText="1"/>
    </xf>
    <xf numFmtId="14" fontId="47" fillId="2" borderId="0" xfId="0" applyNumberFormat="1" applyFont="1" applyFill="1" applyAlignment="1">
      <alignment horizontal="left"/>
    </xf>
    <xf numFmtId="3" fontId="47" fillId="2" borderId="0" xfId="0" applyNumberFormat="1" applyFont="1" applyFill="1" applyAlignment="1">
      <alignment horizontal="left"/>
    </xf>
    <xf numFmtId="0" fontId="42" fillId="2" borderId="0" xfId="12" applyFill="1" applyAlignment="1">
      <alignment horizontal="left"/>
    </xf>
    <xf numFmtId="0" fontId="22" fillId="0" borderId="54" xfId="0" applyFont="1" applyBorder="1"/>
    <xf numFmtId="3" fontId="22" fillId="0" borderId="54" xfId="0" applyNumberFormat="1" applyFont="1" applyBorder="1"/>
    <xf numFmtId="0" fontId="0" fillId="0" borderId="54" xfId="0" applyBorder="1"/>
    <xf numFmtId="14" fontId="22" fillId="0" borderId="54" xfId="0" applyNumberFormat="1" applyFont="1" applyBorder="1"/>
    <xf numFmtId="0" fontId="22" fillId="0" borderId="57" xfId="0" applyFont="1" applyBorder="1"/>
    <xf numFmtId="3" fontId="22" fillId="0" borderId="57" xfId="0" applyNumberFormat="1" applyFont="1" applyBorder="1"/>
    <xf numFmtId="0" fontId="22" fillId="0" borderId="75" xfId="0" applyFont="1" applyBorder="1"/>
    <xf numFmtId="14" fontId="0" fillId="0" borderId="54" xfId="0" applyNumberFormat="1" applyBorder="1"/>
    <xf numFmtId="3" fontId="0" fillId="0" borderId="54" xfId="0" applyNumberFormat="1" applyBorder="1"/>
    <xf numFmtId="0" fontId="0" fillId="0" borderId="71" xfId="0" applyBorder="1"/>
    <xf numFmtId="0" fontId="50" fillId="0" borderId="54" xfId="0" applyFont="1" applyBorder="1"/>
    <xf numFmtId="14" fontId="50" fillId="0" borderId="54" xfId="0" applyNumberFormat="1" applyFont="1" applyBorder="1"/>
    <xf numFmtId="3" fontId="50" fillId="0" borderId="54" xfId="0" applyNumberFormat="1" applyFont="1" applyBorder="1"/>
    <xf numFmtId="0" fontId="50" fillId="0" borderId="71" xfId="0" applyFont="1" applyBorder="1"/>
    <xf numFmtId="0" fontId="42" fillId="21" borderId="74" xfId="13" applyFill="1" applyBorder="1" applyAlignment="1">
      <alignment readingOrder="1"/>
    </xf>
    <xf numFmtId="0" fontId="42" fillId="0" borderId="54" xfId="13" applyBorder="1"/>
    <xf numFmtId="0" fontId="50" fillId="0" borderId="54" xfId="13" applyFont="1" applyBorder="1"/>
    <xf numFmtId="0" fontId="42" fillId="0" borderId="57" xfId="13" applyBorder="1"/>
    <xf numFmtId="0" fontId="50" fillId="0" borderId="57" xfId="0" applyFont="1" applyBorder="1"/>
    <xf numFmtId="14" fontId="50" fillId="0" borderId="57" xfId="0" applyNumberFormat="1" applyFont="1" applyBorder="1"/>
    <xf numFmtId="3" fontId="50" fillId="0" borderId="57" xfId="0" applyNumberFormat="1" applyFont="1" applyBorder="1"/>
    <xf numFmtId="0" fontId="50" fillId="0" borderId="75" xfId="0" applyFont="1" applyBorder="1"/>
    <xf numFmtId="0" fontId="0" fillId="0" borderId="57" xfId="0" applyBorder="1"/>
    <xf numFmtId="14" fontId="0" fillId="0" borderId="57" xfId="0" applyNumberFormat="1" applyBorder="1"/>
    <xf numFmtId="3" fontId="0" fillId="0" borderId="57" xfId="0" applyNumberFormat="1" applyBorder="1"/>
    <xf numFmtId="0" fontId="0" fillId="0" borderId="75" xfId="0" applyBorder="1"/>
    <xf numFmtId="14" fontId="22" fillId="0" borderId="57" xfId="0" applyNumberFormat="1" applyFont="1" applyBorder="1"/>
    <xf numFmtId="0" fontId="50" fillId="0" borderId="70" xfId="0" applyFont="1" applyBorder="1"/>
    <xf numFmtId="14" fontId="50" fillId="0" borderId="70" xfId="0" applyNumberFormat="1" applyFont="1" applyBorder="1"/>
    <xf numFmtId="3" fontId="50" fillId="0" borderId="70" xfId="0" applyNumberFormat="1" applyFont="1" applyBorder="1"/>
    <xf numFmtId="0" fontId="50" fillId="0" borderId="76" xfId="0" applyFont="1" applyBorder="1"/>
    <xf numFmtId="0" fontId="0" fillId="0" borderId="70" xfId="0" applyBorder="1"/>
    <xf numFmtId="14" fontId="0" fillId="0" borderId="70" xfId="0" applyNumberFormat="1" applyBorder="1"/>
    <xf numFmtId="3" fontId="0" fillId="0" borderId="70" xfId="0" applyNumberFormat="1" applyBorder="1"/>
    <xf numFmtId="0" fontId="0" fillId="0" borderId="76" xfId="0" applyBorder="1"/>
    <xf numFmtId="0" fontId="22" fillId="0" borderId="70" xfId="0" applyFont="1" applyBorder="1"/>
    <xf numFmtId="14" fontId="22" fillId="0" borderId="70" xfId="0" applyNumberFormat="1" applyFont="1" applyBorder="1"/>
    <xf numFmtId="3" fontId="22" fillId="0" borderId="70" xfId="0" applyNumberFormat="1" applyFont="1" applyBorder="1"/>
    <xf numFmtId="0" fontId="22" fillId="0" borderId="76" xfId="0" applyFont="1" applyBorder="1"/>
    <xf numFmtId="0" fontId="48" fillId="0" borderId="54" xfId="13" applyFont="1" applyBorder="1"/>
    <xf numFmtId="0" fontId="42" fillId="0" borderId="54" xfId="12" applyBorder="1"/>
    <xf numFmtId="0" fontId="46" fillId="0" borderId="54" xfId="12" applyFont="1" applyBorder="1"/>
    <xf numFmtId="0" fontId="50" fillId="0" borderId="54" xfId="0" applyFont="1" applyBorder="1" applyAlignment="1">
      <alignment wrapText="1"/>
    </xf>
    <xf numFmtId="0" fontId="22" fillId="0" borderId="54" xfId="0" applyFont="1" applyBorder="1" applyAlignment="1">
      <alignment wrapText="1"/>
    </xf>
    <xf numFmtId="0" fontId="46" fillId="0" borderId="54" xfId="13" applyFont="1" applyBorder="1"/>
    <xf numFmtId="0" fontId="48" fillId="0" borderId="54" xfId="12" applyFont="1" applyBorder="1"/>
    <xf numFmtId="0" fontId="46" fillId="0" borderId="71" xfId="12" applyFont="1" applyBorder="1"/>
    <xf numFmtId="0" fontId="50" fillId="0" borderId="54" xfId="0" applyFont="1" applyBorder="1" applyAlignment="1">
      <alignment horizontal="right" wrapText="1"/>
    </xf>
    <xf numFmtId="0" fontId="35" fillId="20" borderId="35" xfId="0" applyFont="1" applyFill="1" applyBorder="1" applyAlignment="1">
      <alignment horizontal="left" vertical="center" wrapText="1"/>
    </xf>
    <xf numFmtId="0" fontId="43" fillId="20" borderId="35" xfId="0" applyFont="1" applyFill="1" applyBorder="1"/>
    <xf numFmtId="0" fontId="43" fillId="20" borderId="35" xfId="0" applyFont="1" applyFill="1" applyBorder="1" applyAlignment="1">
      <alignment horizontal="center" wrapText="1"/>
    </xf>
    <xf numFmtId="1" fontId="44" fillId="20" borderId="35" xfId="0" applyNumberFormat="1" applyFont="1" applyFill="1" applyBorder="1" applyAlignment="1">
      <alignment horizontal="center" wrapText="1"/>
    </xf>
    <xf numFmtId="49" fontId="44" fillId="20" borderId="68" xfId="0" applyNumberFormat="1" applyFont="1" applyFill="1" applyBorder="1" applyAlignment="1">
      <alignment horizontal="center" wrapText="1"/>
    </xf>
    <xf numFmtId="0" fontId="35" fillId="2" borderId="35" xfId="0" applyFont="1" applyFill="1" applyBorder="1" applyAlignment="1">
      <alignment vertical="center"/>
    </xf>
    <xf numFmtId="49" fontId="44" fillId="2" borderId="69" xfId="0" applyNumberFormat="1" applyFont="1" applyFill="1" applyBorder="1" applyAlignment="1">
      <alignment horizontal="center" wrapText="1"/>
    </xf>
    <xf numFmtId="49" fontId="44" fillId="2" borderId="35" xfId="0" applyNumberFormat="1" applyFont="1" applyFill="1" applyBorder="1" applyAlignment="1">
      <alignment horizontal="center" wrapText="1"/>
    </xf>
    <xf numFmtId="0" fontId="44" fillId="2" borderId="0" xfId="0" applyFont="1" applyFill="1" applyAlignment="1">
      <alignment vertical="center"/>
    </xf>
    <xf numFmtId="0" fontId="22" fillId="2" borderId="54" xfId="0" applyFont="1" applyFill="1" applyBorder="1"/>
    <xf numFmtId="14" fontId="22" fillId="2" borderId="54" xfId="0" applyNumberFormat="1" applyFont="1" applyFill="1" applyBorder="1"/>
    <xf numFmtId="3" fontId="22" fillId="2" borderId="54" xfId="0" applyNumberFormat="1" applyFont="1" applyFill="1" applyBorder="1"/>
    <xf numFmtId="0" fontId="0" fillId="0" borderId="54" xfId="0" applyBorder="1" applyAlignment="1">
      <alignment horizontal="right"/>
    </xf>
    <xf numFmtId="0" fontId="16" fillId="0" borderId="54" xfId="0" applyFont="1" applyBorder="1"/>
    <xf numFmtId="14" fontId="16" fillId="0" borderId="54" xfId="0" applyNumberFormat="1" applyFont="1" applyBorder="1" applyAlignment="1">
      <alignment horizontal="right"/>
    </xf>
    <xf numFmtId="3" fontId="16" fillId="0" borderId="54" xfId="0" applyNumberFormat="1" applyFont="1" applyBorder="1"/>
    <xf numFmtId="0" fontId="51" fillId="0" borderId="54" xfId="13" applyFont="1" applyBorder="1"/>
    <xf numFmtId="0" fontId="16" fillId="0" borderId="54" xfId="0" applyFont="1" applyBorder="1" applyAlignment="1">
      <alignment horizontal="center" wrapText="1"/>
    </xf>
    <xf numFmtId="0" fontId="16" fillId="0" borderId="54" xfId="0" applyFont="1" applyBorder="1" applyAlignment="1">
      <alignment horizontal="center"/>
    </xf>
    <xf numFmtId="0" fontId="42" fillId="0" borderId="70" xfId="13" applyBorder="1"/>
    <xf numFmtId="0" fontId="54" fillId="2" borderId="54" xfId="0" applyFont="1" applyFill="1" applyBorder="1" applyAlignment="1">
      <alignment horizontal="left"/>
    </xf>
    <xf numFmtId="0" fontId="54" fillId="2" borderId="54" xfId="0" applyFont="1" applyFill="1" applyBorder="1" applyAlignment="1">
      <alignment horizontal="left" wrapText="1"/>
    </xf>
    <xf numFmtId="0" fontId="54" fillId="2" borderId="54" xfId="0" applyFont="1" applyFill="1" applyBorder="1" applyAlignment="1">
      <alignment horizontal="left" vertical="center"/>
    </xf>
    <xf numFmtId="14" fontId="54" fillId="2" borderId="54" xfId="0" applyNumberFormat="1" applyFont="1" applyFill="1" applyBorder="1" applyAlignment="1">
      <alignment horizontal="left"/>
    </xf>
    <xf numFmtId="49" fontId="52" fillId="2" borderId="54" xfId="0" applyNumberFormat="1" applyFont="1" applyFill="1" applyBorder="1" applyAlignment="1">
      <alignment horizontal="left" readingOrder="1"/>
    </xf>
    <xf numFmtId="0" fontId="54" fillId="2" borderId="71" xfId="0" applyFont="1" applyFill="1" applyBorder="1" applyAlignment="1">
      <alignment horizontal="left"/>
    </xf>
    <xf numFmtId="0" fontId="54" fillId="2" borderId="0" xfId="0" applyFont="1" applyFill="1" applyAlignment="1">
      <alignment horizontal="left"/>
    </xf>
    <xf numFmtId="0" fontId="54" fillId="2" borderId="72" xfId="0" applyFont="1" applyFill="1" applyBorder="1" applyAlignment="1">
      <alignment horizontal="left"/>
    </xf>
    <xf numFmtId="0" fontId="54" fillId="2" borderId="54" xfId="0" applyFont="1" applyFill="1" applyBorder="1" applyAlignment="1">
      <alignment horizontal="left" vertical="center" wrapText="1"/>
    </xf>
    <xf numFmtId="49" fontId="54" fillId="2" borderId="54" xfId="0" applyNumberFormat="1" applyFont="1" applyFill="1" applyBorder="1" applyAlignment="1">
      <alignment horizontal="left" readingOrder="1"/>
    </xf>
    <xf numFmtId="0" fontId="55" fillId="2" borderId="54" xfId="12" applyFont="1" applyFill="1" applyBorder="1" applyAlignment="1">
      <alignment horizontal="left"/>
    </xf>
    <xf numFmtId="0" fontId="54" fillId="2" borderId="71" xfId="0" applyFont="1" applyFill="1" applyBorder="1" applyAlignment="1">
      <alignment horizontal="left" vertical="center" indent="1"/>
    </xf>
    <xf numFmtId="3" fontId="54" fillId="2" borderId="54" xfId="0" applyNumberFormat="1" applyFont="1" applyFill="1" applyBorder="1" applyAlignment="1">
      <alignment horizontal="left"/>
    </xf>
    <xf numFmtId="0" fontId="54" fillId="2" borderId="54" xfId="0" applyFont="1" applyFill="1" applyBorder="1" applyAlignment="1">
      <alignment horizontal="center" vertical="center"/>
    </xf>
    <xf numFmtId="14" fontId="54" fillId="2" borderId="54" xfId="0" applyNumberFormat="1" applyFont="1" applyFill="1" applyBorder="1" applyAlignment="1">
      <alignment horizontal="left" vertical="center"/>
    </xf>
    <xf numFmtId="0" fontId="55" fillId="2" borderId="54" xfId="13" applyFont="1" applyFill="1" applyBorder="1" applyAlignment="1"/>
    <xf numFmtId="0" fontId="54" fillId="2" borderId="54" xfId="0" applyFont="1" applyFill="1" applyBorder="1"/>
    <xf numFmtId="0" fontId="54" fillId="2" borderId="54" xfId="0" applyFont="1" applyFill="1" applyBorder="1" applyAlignment="1">
      <alignment horizontal="center"/>
    </xf>
    <xf numFmtId="0" fontId="54" fillId="2" borderId="54" xfId="0" applyFont="1" applyFill="1" applyBorder="1" applyAlignment="1">
      <alignment wrapText="1"/>
    </xf>
    <xf numFmtId="0" fontId="53" fillId="2" borderId="0" xfId="0" applyFont="1" applyFill="1" applyAlignment="1">
      <alignment horizontal="left"/>
    </xf>
    <xf numFmtId="0" fontId="53" fillId="2" borderId="72" xfId="0" applyFont="1" applyFill="1" applyBorder="1" applyAlignment="1">
      <alignment horizontal="left"/>
    </xf>
    <xf numFmtId="0" fontId="53" fillId="2" borderId="54" xfId="0" applyFont="1" applyFill="1" applyBorder="1" applyAlignment="1">
      <alignment horizontal="left"/>
    </xf>
    <xf numFmtId="49" fontId="52" fillId="2" borderId="54" xfId="0" applyNumberFormat="1" applyFont="1" applyFill="1" applyBorder="1" applyAlignment="1">
      <alignment horizontal="left" vertical="center" readingOrder="1"/>
    </xf>
    <xf numFmtId="49" fontId="54" fillId="2" borderId="54" xfId="0" applyNumberFormat="1" applyFont="1" applyFill="1" applyBorder="1" applyAlignment="1">
      <alignment horizontal="left" vertical="center" readingOrder="1"/>
    </xf>
    <xf numFmtId="0" fontId="53" fillId="2" borderId="71" xfId="0" applyFont="1" applyFill="1" applyBorder="1" applyAlignment="1">
      <alignment horizontal="left"/>
    </xf>
    <xf numFmtId="0" fontId="56" fillId="2" borderId="54" xfId="13" applyFont="1" applyFill="1" applyBorder="1" applyAlignment="1">
      <alignment horizontal="left"/>
    </xf>
    <xf numFmtId="0" fontId="56" fillId="2" borderId="54" xfId="12" applyFont="1" applyFill="1" applyBorder="1" applyAlignment="1">
      <alignment horizontal="left"/>
    </xf>
    <xf numFmtId="3" fontId="54" fillId="2" borderId="54" xfId="0" applyNumberFormat="1" applyFont="1" applyFill="1" applyBorder="1" applyAlignment="1">
      <alignment horizontal="left" vertical="center"/>
    </xf>
    <xf numFmtId="0" fontId="55" fillId="2" borderId="54" xfId="12" applyFont="1" applyFill="1" applyBorder="1" applyAlignment="1">
      <alignment vertical="center"/>
    </xf>
    <xf numFmtId="0" fontId="54" fillId="2" borderId="54" xfId="0" applyFont="1" applyFill="1" applyBorder="1" applyAlignment="1">
      <alignment vertical="center"/>
    </xf>
    <xf numFmtId="0" fontId="54" fillId="2" borderId="54" xfId="0" applyFont="1" applyFill="1" applyBorder="1" applyAlignment="1">
      <alignment horizontal="center" vertical="center" wrapText="1"/>
    </xf>
    <xf numFmtId="0" fontId="54" fillId="18" borderId="0" xfId="0" applyFont="1" applyFill="1" applyAlignment="1">
      <alignment horizontal="left"/>
    </xf>
    <xf numFmtId="0" fontId="54" fillId="18" borderId="72" xfId="0" applyFont="1" applyFill="1" applyBorder="1" applyAlignment="1">
      <alignment horizontal="left"/>
    </xf>
    <xf numFmtId="0" fontId="54" fillId="18" borderId="54" xfId="0" applyFont="1" applyFill="1" applyBorder="1" applyAlignment="1">
      <alignment horizontal="left"/>
    </xf>
    <xf numFmtId="0" fontId="52" fillId="2" borderId="54" xfId="0" applyFont="1" applyFill="1" applyBorder="1" applyAlignment="1">
      <alignment horizontal="left"/>
    </xf>
    <xf numFmtId="0" fontId="52" fillId="2" borderId="54" xfId="0" applyFont="1" applyFill="1" applyBorder="1" applyAlignment="1">
      <alignment horizontal="left" wrapText="1"/>
    </xf>
    <xf numFmtId="14" fontId="52" fillId="2" borderId="54" xfId="0" applyNumberFormat="1" applyFont="1" applyFill="1" applyBorder="1" applyAlignment="1">
      <alignment horizontal="left"/>
    </xf>
    <xf numFmtId="3" fontId="52" fillId="2" borderId="54" xfId="0" applyNumberFormat="1" applyFont="1" applyFill="1" applyBorder="1" applyAlignment="1">
      <alignment horizontal="left"/>
    </xf>
    <xf numFmtId="0" fontId="52" fillId="2" borderId="54" xfId="0" applyFont="1" applyFill="1" applyBorder="1" applyAlignment="1">
      <alignment horizontal="left" vertical="center" wrapText="1"/>
    </xf>
    <xf numFmtId="0" fontId="53" fillId="2" borderId="54" xfId="0" applyFont="1" applyFill="1" applyBorder="1" applyAlignment="1">
      <alignment horizontal="left" wrapText="1"/>
    </xf>
    <xf numFmtId="0" fontId="54" fillId="2" borderId="54" xfId="0" applyFont="1" applyFill="1" applyBorder="1" applyAlignment="1">
      <alignment horizontal="center" wrapText="1"/>
    </xf>
    <xf numFmtId="0" fontId="52" fillId="2" borderId="54" xfId="0" applyFont="1" applyFill="1" applyBorder="1" applyAlignment="1">
      <alignment wrapText="1"/>
    </xf>
    <xf numFmtId="0" fontId="53" fillId="2" borderId="54" xfId="0" applyFont="1" applyFill="1" applyBorder="1" applyAlignment="1">
      <alignment wrapText="1"/>
    </xf>
    <xf numFmtId="0" fontId="52" fillId="2" borderId="0" xfId="0" applyFont="1" applyFill="1" applyAlignment="1">
      <alignment horizontal="left"/>
    </xf>
    <xf numFmtId="0" fontId="53" fillId="2" borderId="54" xfId="0" applyFont="1" applyFill="1" applyBorder="1" applyAlignment="1">
      <alignment horizontal="left" vertical="center"/>
    </xf>
    <xf numFmtId="0" fontId="53" fillId="2" borderId="54" xfId="0" applyFont="1" applyFill="1" applyBorder="1" applyAlignment="1">
      <alignment horizontal="left" vertical="center" wrapText="1"/>
    </xf>
    <xf numFmtId="14" fontId="53" fillId="2" borderId="54" xfId="0" applyNumberFormat="1" applyFont="1" applyFill="1" applyBorder="1" applyAlignment="1">
      <alignment horizontal="left" vertical="center"/>
    </xf>
    <xf numFmtId="49" fontId="53" fillId="2" borderId="54" xfId="0" applyNumberFormat="1" applyFont="1" applyFill="1" applyBorder="1" applyAlignment="1">
      <alignment horizontal="left" vertical="center" readingOrder="1"/>
    </xf>
    <xf numFmtId="3" fontId="53" fillId="2" borderId="54" xfId="0" applyNumberFormat="1" applyFont="1" applyFill="1" applyBorder="1" applyAlignment="1">
      <alignment horizontal="left" vertical="center"/>
    </xf>
    <xf numFmtId="0" fontId="53" fillId="2" borderId="71" xfId="0" applyFont="1" applyFill="1" applyBorder="1" applyAlignment="1">
      <alignment horizontal="left" vertical="center"/>
    </xf>
    <xf numFmtId="0" fontId="53" fillId="2" borderId="54" xfId="0" applyFont="1" applyFill="1" applyBorder="1" applyAlignment="1">
      <alignment vertical="center" wrapText="1"/>
    </xf>
    <xf numFmtId="0" fontId="53" fillId="2" borderId="0" xfId="0" applyFont="1" applyFill="1" applyAlignment="1">
      <alignment horizontal="left" vertical="center"/>
    </xf>
    <xf numFmtId="0" fontId="53" fillId="2" borderId="72" xfId="0" applyFont="1" applyFill="1" applyBorder="1" applyAlignment="1">
      <alignment horizontal="left" vertical="center"/>
    </xf>
    <xf numFmtId="0" fontId="57" fillId="2" borderId="54" xfId="13" applyFont="1" applyFill="1" applyBorder="1" applyAlignment="1">
      <alignment horizontal="left"/>
    </xf>
    <xf numFmtId="0" fontId="52" fillId="2" borderId="54" xfId="0" applyFont="1" applyFill="1" applyBorder="1" applyAlignment="1">
      <alignment horizontal="left" vertical="center"/>
    </xf>
    <xf numFmtId="0" fontId="57" fillId="2" borderId="54" xfId="12" applyFont="1" applyFill="1" applyBorder="1" applyAlignment="1">
      <alignment horizontal="left"/>
    </xf>
    <xf numFmtId="0" fontId="55" fillId="2" borderId="54" xfId="13" applyFont="1" applyFill="1" applyBorder="1" applyAlignment="1">
      <alignment horizontal="left"/>
    </xf>
    <xf numFmtId="14" fontId="52" fillId="2" borderId="54" xfId="0" applyNumberFormat="1" applyFont="1" applyFill="1" applyBorder="1" applyAlignment="1">
      <alignment horizontal="left" vertical="center"/>
    </xf>
    <xf numFmtId="0" fontId="53" fillId="2" borderId="54" xfId="0" applyFont="1" applyFill="1" applyBorder="1" applyAlignment="1">
      <alignment horizontal="center" wrapText="1"/>
    </xf>
    <xf numFmtId="0" fontId="55" fillId="2" borderId="54" xfId="13" applyFont="1" applyFill="1" applyBorder="1" applyAlignment="1">
      <alignment vertical="center"/>
    </xf>
    <xf numFmtId="0" fontId="54" fillId="0" borderId="54" xfId="0" applyFont="1" applyBorder="1" applyAlignment="1">
      <alignment wrapText="1"/>
    </xf>
    <xf numFmtId="0" fontId="54" fillId="12" borderId="54" xfId="0" applyFont="1" applyFill="1" applyBorder="1" applyAlignment="1">
      <alignment horizontal="left"/>
    </xf>
    <xf numFmtId="0" fontId="54" fillId="12" borderId="54" xfId="0" applyFont="1" applyFill="1" applyBorder="1" applyAlignment="1">
      <alignment horizontal="left" wrapText="1"/>
    </xf>
    <xf numFmtId="14" fontId="54" fillId="12" borderId="54" xfId="0" applyNumberFormat="1" applyFont="1" applyFill="1" applyBorder="1" applyAlignment="1">
      <alignment horizontal="left"/>
    </xf>
    <xf numFmtId="49" fontId="54" fillId="12" borderId="54" xfId="0" applyNumberFormat="1" applyFont="1" applyFill="1" applyBorder="1" applyAlignment="1">
      <alignment horizontal="left" readingOrder="1"/>
    </xf>
    <xf numFmtId="3" fontId="54" fillId="12" borderId="54" xfId="0" applyNumberFormat="1" applyFont="1" applyFill="1" applyBorder="1" applyAlignment="1">
      <alignment horizontal="left"/>
    </xf>
    <xf numFmtId="0" fontId="55" fillId="12" borderId="54" xfId="12" applyFont="1" applyFill="1" applyBorder="1" applyAlignment="1">
      <alignment horizontal="left"/>
    </xf>
    <xf numFmtId="3" fontId="52" fillId="2" borderId="54" xfId="0" applyNumberFormat="1" applyFont="1" applyFill="1" applyBorder="1" applyAlignment="1">
      <alignment horizontal="left" vertical="center"/>
    </xf>
    <xf numFmtId="0" fontId="57" fillId="2" borderId="54" xfId="12" applyFont="1" applyFill="1" applyBorder="1" applyAlignment="1">
      <alignment horizontal="left" vertical="center"/>
    </xf>
    <xf numFmtId="0" fontId="52" fillId="0" borderId="54" xfId="0" applyFont="1" applyBorder="1"/>
    <xf numFmtId="0" fontId="55" fillId="2" borderId="54" xfId="13" applyFont="1" applyFill="1" applyBorder="1" applyAlignment="1">
      <alignment horizontal="left" vertical="center"/>
    </xf>
    <xf numFmtId="0" fontId="54" fillId="2" borderId="54" xfId="0" applyFont="1" applyFill="1" applyBorder="1" applyAlignment="1">
      <alignment vertical="center" wrapText="1"/>
    </xf>
    <xf numFmtId="0" fontId="54" fillId="2" borderId="0" xfId="0" applyFont="1" applyFill="1" applyAlignment="1">
      <alignment horizontal="left" vertical="center"/>
    </xf>
    <xf numFmtId="0" fontId="54" fillId="2" borderId="72" xfId="0" applyFont="1" applyFill="1" applyBorder="1" applyAlignment="1">
      <alignment horizontal="left" vertical="center"/>
    </xf>
    <xf numFmtId="0" fontId="54" fillId="13" borderId="54" xfId="0" applyFont="1" applyFill="1" applyBorder="1" applyAlignment="1">
      <alignment horizontal="left"/>
    </xf>
    <xf numFmtId="0" fontId="54" fillId="13" borderId="54" xfId="0" applyFont="1" applyFill="1" applyBorder="1" applyAlignment="1">
      <alignment horizontal="left" wrapText="1"/>
    </xf>
    <xf numFmtId="14" fontId="54" fillId="13" borderId="54" xfId="0" applyNumberFormat="1" applyFont="1" applyFill="1" applyBorder="1" applyAlignment="1">
      <alignment horizontal="left"/>
    </xf>
    <xf numFmtId="49" fontId="54" fillId="13" borderId="54" xfId="0" applyNumberFormat="1" applyFont="1" applyFill="1" applyBorder="1" applyAlignment="1">
      <alignment horizontal="left" readingOrder="1"/>
    </xf>
    <xf numFmtId="3" fontId="54" fillId="13" borderId="54" xfId="0" applyNumberFormat="1" applyFont="1" applyFill="1" applyBorder="1" applyAlignment="1">
      <alignment horizontal="left"/>
    </xf>
    <xf numFmtId="0" fontId="55" fillId="13" borderId="54" xfId="13" applyFont="1" applyFill="1" applyBorder="1" applyAlignment="1">
      <alignment horizontal="left"/>
    </xf>
    <xf numFmtId="0" fontId="52" fillId="2" borderId="71" xfId="0" applyFont="1" applyFill="1" applyBorder="1" applyAlignment="1">
      <alignment horizontal="left"/>
    </xf>
    <xf numFmtId="0" fontId="52" fillId="2" borderId="72" xfId="0" applyFont="1" applyFill="1" applyBorder="1" applyAlignment="1">
      <alignment horizontal="left"/>
    </xf>
    <xf numFmtId="0" fontId="56" fillId="2" borderId="54" xfId="12" applyFont="1" applyFill="1" applyBorder="1" applyAlignment="1">
      <alignment horizontal="left" vertical="center"/>
    </xf>
    <xf numFmtId="0" fontId="56" fillId="2" borderId="54" xfId="13" applyFont="1" applyFill="1" applyBorder="1" applyAlignment="1">
      <alignment horizontal="left" vertical="center"/>
    </xf>
    <xf numFmtId="0" fontId="57" fillId="2" borderId="54" xfId="13" applyFont="1" applyFill="1" applyBorder="1" applyAlignment="1">
      <alignment horizontal="left" vertical="center"/>
    </xf>
    <xf numFmtId="0" fontId="53" fillId="2" borderId="57" xfId="0" applyFont="1" applyFill="1" applyBorder="1" applyAlignment="1">
      <alignment vertical="center" wrapText="1"/>
    </xf>
    <xf numFmtId="0" fontId="54" fillId="2" borderId="71" xfId="0" applyFont="1" applyFill="1" applyBorder="1" applyAlignment="1">
      <alignment horizontal="left" vertical="center"/>
    </xf>
    <xf numFmtId="0" fontId="53" fillId="2" borderId="70" xfId="0" applyFont="1" applyFill="1" applyBorder="1" applyAlignment="1">
      <alignment vertical="center" wrapText="1"/>
    </xf>
    <xf numFmtId="0" fontId="55" fillId="2" borderId="54" xfId="12" applyFont="1" applyFill="1" applyBorder="1" applyAlignment="1">
      <alignment horizontal="left" vertical="center"/>
    </xf>
    <xf numFmtId="0" fontId="53" fillId="0" borderId="54" xfId="0" applyFont="1" applyBorder="1" applyAlignment="1">
      <alignment wrapText="1"/>
    </xf>
    <xf numFmtId="0" fontId="58" fillId="2" borderId="54" xfId="0" applyFont="1" applyFill="1" applyBorder="1" applyAlignment="1">
      <alignment horizontal="left" vertical="center"/>
    </xf>
    <xf numFmtId="0" fontId="58" fillId="2" borderId="54" xfId="0" applyFont="1" applyFill="1" applyBorder="1" applyAlignment="1">
      <alignment horizontal="left" vertical="center" wrapText="1"/>
    </xf>
    <xf numFmtId="14" fontId="58" fillId="2" borderId="54" xfId="0" applyNumberFormat="1" applyFont="1" applyFill="1" applyBorder="1" applyAlignment="1">
      <alignment horizontal="left" vertical="center"/>
    </xf>
    <xf numFmtId="49" fontId="58" fillId="2" borderId="54" xfId="0" applyNumberFormat="1" applyFont="1" applyFill="1" applyBorder="1" applyAlignment="1">
      <alignment horizontal="left" vertical="center" readingOrder="1"/>
    </xf>
    <xf numFmtId="3" fontId="58" fillId="2" borderId="54" xfId="0" applyNumberFormat="1" applyFont="1" applyFill="1" applyBorder="1" applyAlignment="1">
      <alignment horizontal="left" vertical="center"/>
    </xf>
    <xf numFmtId="0" fontId="59" fillId="2" borderId="54" xfId="13" applyFont="1" applyFill="1" applyBorder="1" applyAlignment="1">
      <alignment horizontal="left" vertical="center"/>
    </xf>
    <xf numFmtId="0" fontId="58" fillId="2" borderId="71" xfId="0" applyFont="1" applyFill="1" applyBorder="1" applyAlignment="1">
      <alignment horizontal="left" vertical="center"/>
    </xf>
    <xf numFmtId="0" fontId="58" fillId="2" borderId="54" xfId="0" applyFont="1" applyFill="1" applyBorder="1" applyAlignment="1">
      <alignment vertical="center" wrapText="1"/>
    </xf>
    <xf numFmtId="0" fontId="58" fillId="2" borderId="0" xfId="0" applyFont="1" applyFill="1" applyAlignment="1">
      <alignment horizontal="left" vertical="center"/>
    </xf>
    <xf numFmtId="0" fontId="58" fillId="2" borderId="72" xfId="0" applyFont="1" applyFill="1" applyBorder="1" applyAlignment="1">
      <alignment horizontal="left" vertical="center"/>
    </xf>
    <xf numFmtId="0" fontId="16" fillId="0" borderId="70" xfId="0" applyFont="1" applyBorder="1" applyAlignment="1">
      <alignment vertical="center" wrapText="1"/>
    </xf>
    <xf numFmtId="0" fontId="22" fillId="0" borderId="77" xfId="0" applyFont="1" applyBorder="1"/>
    <xf numFmtId="0" fontId="16" fillId="0" borderId="70" xfId="0" applyFont="1" applyBorder="1"/>
    <xf numFmtId="0" fontId="46" fillId="2" borderId="54" xfId="13" applyFont="1" applyFill="1" applyBorder="1" applyAlignment="1">
      <alignment vertical="center"/>
    </xf>
    <xf numFmtId="0" fontId="52" fillId="2" borderId="54" xfId="0" applyFont="1" applyFill="1" applyBorder="1" applyAlignment="1">
      <alignment vertical="center"/>
    </xf>
    <xf numFmtId="0" fontId="52" fillId="2" borderId="71" xfId="0" applyFont="1" applyFill="1" applyBorder="1" applyAlignment="1">
      <alignment horizontal="left" vertical="center"/>
    </xf>
    <xf numFmtId="0" fontId="52" fillId="2" borderId="54" xfId="0" applyFont="1" applyFill="1" applyBorder="1" applyAlignment="1">
      <alignment vertical="center" wrapText="1"/>
    </xf>
    <xf numFmtId="0" fontId="52" fillId="2" borderId="0" xfId="0" applyFont="1" applyFill="1" applyAlignment="1">
      <alignment horizontal="left" vertical="center"/>
    </xf>
    <xf numFmtId="0" fontId="52" fillId="2" borderId="72" xfId="0" applyFont="1" applyFill="1" applyBorder="1" applyAlignment="1">
      <alignment horizontal="left" vertical="center"/>
    </xf>
    <xf numFmtId="0" fontId="46" fillId="2" borderId="54" xfId="13" applyFont="1" applyFill="1" applyBorder="1" applyAlignment="1">
      <alignment horizontal="left" vertical="center"/>
    </xf>
    <xf numFmtId="0" fontId="60" fillId="20" borderId="21" xfId="0" applyFont="1" applyFill="1" applyBorder="1"/>
    <xf numFmtId="0" fontId="60" fillId="20" borderId="21" xfId="0" applyFont="1" applyFill="1" applyBorder="1" applyAlignment="1">
      <alignment horizontal="center" wrapText="1"/>
    </xf>
    <xf numFmtId="1" fontId="12" fillId="20" borderId="21" xfId="0" applyNumberFormat="1" applyFont="1" applyFill="1" applyBorder="1" applyAlignment="1">
      <alignment horizontal="center" wrapText="1"/>
    </xf>
    <xf numFmtId="0" fontId="12" fillId="20" borderId="21" xfId="0" applyFont="1" applyFill="1" applyBorder="1" applyAlignment="1">
      <alignment horizontal="center" wrapText="1"/>
    </xf>
    <xf numFmtId="49" fontId="12" fillId="20" borderId="64" xfId="0" applyNumberFormat="1" applyFont="1" applyFill="1" applyBorder="1" applyAlignment="1">
      <alignment horizontal="center" wrapText="1"/>
    </xf>
    <xf numFmtId="0" fontId="35" fillId="2" borderId="21" xfId="0" applyFont="1" applyFill="1" applyBorder="1" applyAlignment="1">
      <alignment vertical="center"/>
    </xf>
    <xf numFmtId="49" fontId="12" fillId="2" borderId="53" xfId="0" applyNumberFormat="1" applyFont="1" applyFill="1" applyBorder="1" applyAlignment="1">
      <alignment horizontal="center" wrapText="1"/>
    </xf>
    <xf numFmtId="49" fontId="12" fillId="2" borderId="21" xfId="0" applyNumberFormat="1" applyFont="1" applyFill="1" applyBorder="1" applyAlignment="1">
      <alignment horizontal="center" wrapText="1"/>
    </xf>
    <xf numFmtId="0" fontId="48" fillId="2" borderId="54" xfId="13" applyFont="1" applyFill="1" applyBorder="1" applyAlignment="1">
      <alignment horizontal="left" vertical="center"/>
    </xf>
    <xf numFmtId="49" fontId="22" fillId="11" borderId="54" xfId="0" applyNumberFormat="1" applyFont="1" applyFill="1" applyBorder="1" applyAlignment="1">
      <alignment horizontal="left" vertical="top" wrapText="1" readingOrder="1"/>
    </xf>
    <xf numFmtId="49" fontId="22" fillId="11" borderId="54" xfId="0" applyNumberFormat="1" applyFont="1" applyFill="1" applyBorder="1" applyAlignment="1">
      <alignment horizontal="left" vertical="top" readingOrder="1"/>
    </xf>
    <xf numFmtId="49" fontId="22" fillId="11" borderId="71" xfId="0" applyNumberFormat="1" applyFont="1" applyFill="1" applyBorder="1" applyAlignment="1">
      <alignment horizontal="left" vertical="top" wrapText="1" readingOrder="1"/>
    </xf>
    <xf numFmtId="0" fontId="22" fillId="2" borderId="0" xfId="0" applyFont="1" applyFill="1" applyAlignment="1">
      <alignment horizontal="left" vertical="top"/>
    </xf>
    <xf numFmtId="0" fontId="22" fillId="0" borderId="72" xfId="0" applyFont="1" applyBorder="1" applyAlignment="1">
      <alignment horizontal="left" vertical="top"/>
    </xf>
    <xf numFmtId="0" fontId="22" fillId="0" borderId="54" xfId="0" applyFont="1" applyBorder="1" applyAlignment="1">
      <alignment horizontal="left" vertical="top"/>
    </xf>
    <xf numFmtId="0" fontId="22" fillId="22" borderId="54" xfId="0" applyFont="1" applyFill="1" applyBorder="1" applyAlignment="1">
      <alignment horizontal="left" vertical="top"/>
    </xf>
    <xf numFmtId="0" fontId="22" fillId="22" borderId="54" xfId="0" applyFont="1" applyFill="1" applyBorder="1" applyAlignment="1">
      <alignment horizontal="left" vertical="top" wrapText="1"/>
    </xf>
    <xf numFmtId="14" fontId="22" fillId="22" borderId="54" xfId="0" applyNumberFormat="1" applyFont="1" applyFill="1" applyBorder="1" applyAlignment="1">
      <alignment horizontal="left" vertical="top"/>
    </xf>
    <xf numFmtId="3" fontId="22" fillId="22" borderId="54" xfId="0" applyNumberFormat="1" applyFont="1" applyFill="1" applyBorder="1" applyAlignment="1">
      <alignment horizontal="left" vertical="top"/>
    </xf>
    <xf numFmtId="0" fontId="22" fillId="22" borderId="71" xfId="0" applyFont="1" applyFill="1" applyBorder="1" applyAlignment="1">
      <alignment horizontal="left" vertical="top" wrapText="1"/>
    </xf>
    <xf numFmtId="0" fontId="22" fillId="22" borderId="72" xfId="0" applyFont="1" applyFill="1" applyBorder="1" applyAlignment="1">
      <alignment horizontal="left" vertical="top"/>
    </xf>
    <xf numFmtId="0" fontId="22" fillId="0" borderId="54" xfId="0" applyFont="1" applyBorder="1" applyAlignment="1">
      <alignment horizontal="left" vertical="top" wrapText="1"/>
    </xf>
    <xf numFmtId="14" fontId="22" fillId="0" borderId="54" xfId="0" applyNumberFormat="1" applyFont="1" applyBorder="1" applyAlignment="1">
      <alignment horizontal="left" vertical="top"/>
    </xf>
    <xf numFmtId="3" fontId="22" fillId="0" borderId="54" xfId="0" applyNumberFormat="1" applyFont="1" applyBorder="1" applyAlignment="1">
      <alignment horizontal="left" vertical="top"/>
    </xf>
    <xf numFmtId="0" fontId="42" fillId="0" borderId="54" xfId="13" applyBorder="1" applyAlignment="1">
      <alignment horizontal="left" vertical="top"/>
    </xf>
    <xf numFmtId="0" fontId="50" fillId="0" borderId="54" xfId="0" applyFont="1" applyBorder="1" applyAlignment="1">
      <alignment horizontal="left" vertical="top"/>
    </xf>
    <xf numFmtId="0" fontId="22" fillId="0" borderId="71" xfId="0" applyFont="1" applyBorder="1" applyAlignment="1">
      <alignment horizontal="left" vertical="top" wrapText="1"/>
    </xf>
    <xf numFmtId="0" fontId="42" fillId="0" borderId="54" xfId="12" applyBorder="1" applyAlignment="1">
      <alignment horizontal="left" vertical="top"/>
    </xf>
    <xf numFmtId="0" fontId="50" fillId="0" borderId="54" xfId="0" applyFont="1" applyBorder="1" applyAlignment="1">
      <alignment horizontal="left" vertical="top" wrapText="1"/>
    </xf>
    <xf numFmtId="14" fontId="50" fillId="0" borderId="54" xfId="0" applyNumberFormat="1" applyFont="1" applyBorder="1" applyAlignment="1">
      <alignment horizontal="left" vertical="top"/>
    </xf>
    <xf numFmtId="3" fontId="50" fillId="0" borderId="54" xfId="0" applyNumberFormat="1" applyFont="1" applyBorder="1" applyAlignment="1">
      <alignment horizontal="left" vertical="top"/>
    </xf>
    <xf numFmtId="0" fontId="46" fillId="0" borderId="54" xfId="13" applyFont="1" applyBorder="1" applyAlignment="1">
      <alignment horizontal="left" vertical="top"/>
    </xf>
    <xf numFmtId="0" fontId="16" fillId="0" borderId="54" xfId="0" applyFont="1" applyBorder="1" applyAlignment="1">
      <alignment horizontal="left" vertical="top"/>
    </xf>
    <xf numFmtId="0" fontId="16" fillId="0" borderId="54" xfId="0" applyFont="1" applyBorder="1" applyAlignment="1">
      <alignment horizontal="left" vertical="top" wrapText="1"/>
    </xf>
    <xf numFmtId="14" fontId="16" fillId="0" borderId="54" xfId="0" applyNumberFormat="1" applyFont="1" applyBorder="1" applyAlignment="1">
      <alignment horizontal="left" vertical="top"/>
    </xf>
    <xf numFmtId="3" fontId="16" fillId="0" borderId="54" xfId="0" applyNumberFormat="1" applyFont="1" applyBorder="1" applyAlignment="1">
      <alignment horizontal="left" vertical="top"/>
    </xf>
    <xf numFmtId="0" fontId="16" fillId="0" borderId="71" xfId="0" applyFont="1" applyBorder="1" applyAlignment="1">
      <alignment horizontal="left" vertical="top" wrapText="1"/>
    </xf>
    <xf numFmtId="0" fontId="16" fillId="2" borderId="0" xfId="0" applyFont="1" applyFill="1" applyAlignment="1">
      <alignment horizontal="left" vertical="top"/>
    </xf>
    <xf numFmtId="0" fontId="16" fillId="0" borderId="72" xfId="0" applyFont="1" applyBorder="1" applyAlignment="1">
      <alignment horizontal="left" vertical="top"/>
    </xf>
    <xf numFmtId="0" fontId="46" fillId="0" borderId="54" xfId="12" applyFont="1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54" xfId="0" applyBorder="1" applyAlignment="1">
      <alignment horizontal="left" vertical="top" wrapText="1"/>
    </xf>
    <xf numFmtId="14" fontId="0" fillId="0" borderId="54" xfId="0" applyNumberFormat="1" applyBorder="1" applyAlignment="1">
      <alignment horizontal="left" vertical="top"/>
    </xf>
    <xf numFmtId="3" fontId="0" fillId="0" borderId="54" xfId="0" applyNumberFormat="1" applyBorder="1" applyAlignment="1">
      <alignment horizontal="left" vertical="top"/>
    </xf>
    <xf numFmtId="0" fontId="0" fillId="0" borderId="71" xfId="0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0" borderId="72" xfId="0" applyBorder="1" applyAlignment="1">
      <alignment horizontal="left" vertical="top"/>
    </xf>
    <xf numFmtId="49" fontId="61" fillId="11" borderId="54" xfId="0" applyNumberFormat="1" applyFont="1" applyFill="1" applyBorder="1" applyAlignment="1">
      <alignment horizontal="left" vertical="center" wrapText="1" readingOrder="1"/>
    </xf>
    <xf numFmtId="49" fontId="61" fillId="11" borderId="54" xfId="0" applyNumberFormat="1" applyFont="1" applyFill="1" applyBorder="1" applyAlignment="1">
      <alignment horizontal="left" vertical="center" readingOrder="1"/>
    </xf>
    <xf numFmtId="49" fontId="62" fillId="11" borderId="54" xfId="0" applyNumberFormat="1" applyFont="1" applyFill="1" applyBorder="1" applyAlignment="1">
      <alignment horizontal="left" vertical="center" readingOrder="1"/>
    </xf>
    <xf numFmtId="49" fontId="61" fillId="11" borderId="71" xfId="0" applyNumberFormat="1" applyFont="1" applyFill="1" applyBorder="1" applyAlignment="1">
      <alignment horizontal="left" vertical="center" wrapText="1" readingOrder="1"/>
    </xf>
    <xf numFmtId="49" fontId="61" fillId="11" borderId="54" xfId="0" applyNumberFormat="1" applyFont="1" applyFill="1" applyBorder="1" applyAlignment="1">
      <alignment vertical="center" wrapText="1" readingOrder="1"/>
    </xf>
    <xf numFmtId="0" fontId="61" fillId="11" borderId="0" xfId="0" applyFont="1" applyFill="1" applyAlignment="1">
      <alignment horizontal="left" vertical="center"/>
    </xf>
    <xf numFmtId="0" fontId="61" fillId="11" borderId="72" xfId="0" applyFont="1" applyFill="1" applyBorder="1" applyAlignment="1">
      <alignment horizontal="left" vertical="center"/>
    </xf>
    <xf numFmtId="0" fontId="61" fillId="11" borderId="54" xfId="0" applyFont="1" applyFill="1" applyBorder="1" applyAlignment="1">
      <alignment horizontal="left" vertical="center"/>
    </xf>
    <xf numFmtId="0" fontId="62" fillId="2" borderId="54" xfId="0" applyFont="1" applyFill="1" applyBorder="1" applyAlignment="1">
      <alignment horizontal="left" vertical="center"/>
    </xf>
    <xf numFmtId="0" fontId="62" fillId="2" borderId="54" xfId="0" applyFont="1" applyFill="1" applyBorder="1" applyAlignment="1">
      <alignment horizontal="left" vertical="center" wrapText="1"/>
    </xf>
    <xf numFmtId="14" fontId="62" fillId="2" borderId="54" xfId="0" applyNumberFormat="1" applyFont="1" applyFill="1" applyBorder="1" applyAlignment="1">
      <alignment horizontal="left" vertical="center"/>
    </xf>
    <xf numFmtId="49" fontId="62" fillId="2" borderId="54" xfId="0" applyNumberFormat="1" applyFont="1" applyFill="1" applyBorder="1" applyAlignment="1">
      <alignment horizontal="left" vertical="center" readingOrder="1"/>
    </xf>
    <xf numFmtId="3" fontId="62" fillId="2" borderId="54" xfId="0" applyNumberFormat="1" applyFont="1" applyFill="1" applyBorder="1" applyAlignment="1">
      <alignment horizontal="left" vertical="center"/>
    </xf>
    <xf numFmtId="0" fontId="42" fillId="2" borderId="54" xfId="13" applyFill="1" applyBorder="1" applyAlignment="1">
      <alignment horizontal="left" vertical="center"/>
    </xf>
    <xf numFmtId="0" fontId="62" fillId="2" borderId="71" xfId="0" applyFont="1" applyFill="1" applyBorder="1" applyAlignment="1">
      <alignment horizontal="left" vertical="center"/>
    </xf>
    <xf numFmtId="0" fontId="62" fillId="2" borderId="54" xfId="0" applyFont="1" applyFill="1" applyBorder="1" applyAlignment="1">
      <alignment vertical="center" wrapText="1"/>
    </xf>
    <xf numFmtId="0" fontId="62" fillId="2" borderId="0" xfId="0" applyFont="1" applyFill="1" applyAlignment="1">
      <alignment horizontal="left" vertical="center"/>
    </xf>
    <xf numFmtId="0" fontId="62" fillId="2" borderId="72" xfId="0" applyFont="1" applyFill="1" applyBorder="1" applyAlignment="1">
      <alignment horizontal="left" vertical="center"/>
    </xf>
    <xf numFmtId="0" fontId="63" fillId="2" borderId="54" xfId="13" applyFont="1" applyFill="1" applyBorder="1" applyAlignment="1">
      <alignment horizontal="left" vertical="center"/>
    </xf>
    <xf numFmtId="0" fontId="63" fillId="2" borderId="54" xfId="12" applyFont="1" applyFill="1" applyBorder="1" applyAlignment="1">
      <alignment horizontal="left" vertical="center"/>
    </xf>
    <xf numFmtId="0" fontId="61" fillId="2" borderId="54" xfId="0" applyFont="1" applyFill="1" applyBorder="1" applyAlignment="1">
      <alignment horizontal="left" vertical="center"/>
    </xf>
    <xf numFmtId="0" fontId="61" fillId="2" borderId="54" xfId="0" applyFont="1" applyFill="1" applyBorder="1" applyAlignment="1">
      <alignment horizontal="left" vertical="center" wrapText="1"/>
    </xf>
    <xf numFmtId="14" fontId="61" fillId="2" borderId="54" xfId="0" applyNumberFormat="1" applyFont="1" applyFill="1" applyBorder="1" applyAlignment="1">
      <alignment horizontal="left" vertical="center"/>
    </xf>
    <xf numFmtId="49" fontId="61" fillId="2" borderId="54" xfId="0" applyNumberFormat="1" applyFont="1" applyFill="1" applyBorder="1" applyAlignment="1">
      <alignment horizontal="left" vertical="center" readingOrder="1"/>
    </xf>
    <xf numFmtId="3" fontId="61" fillId="2" borderId="54" xfId="0" applyNumberFormat="1" applyFont="1" applyFill="1" applyBorder="1" applyAlignment="1">
      <alignment horizontal="left" vertical="center"/>
    </xf>
    <xf numFmtId="0" fontId="61" fillId="2" borderId="71" xfId="0" applyFont="1" applyFill="1" applyBorder="1" applyAlignment="1">
      <alignment horizontal="left" vertical="center"/>
    </xf>
    <xf numFmtId="0" fontId="61" fillId="2" borderId="54" xfId="0" applyFont="1" applyFill="1" applyBorder="1" applyAlignment="1">
      <alignment vertical="center" wrapText="1"/>
    </xf>
    <xf numFmtId="0" fontId="61" fillId="2" borderId="0" xfId="0" applyFont="1" applyFill="1" applyAlignment="1">
      <alignment horizontal="left" vertical="center"/>
    </xf>
    <xf numFmtId="0" fontId="61" fillId="2" borderId="72" xfId="0" applyFont="1" applyFill="1" applyBorder="1" applyAlignment="1">
      <alignment horizontal="left" vertical="center"/>
    </xf>
    <xf numFmtId="0" fontId="42" fillId="2" borderId="54" xfId="12" applyFill="1" applyBorder="1" applyAlignment="1">
      <alignment horizontal="left" vertical="center"/>
    </xf>
    <xf numFmtId="0" fontId="50" fillId="0" borderId="71" xfId="0" applyFont="1" applyBorder="1" applyAlignment="1">
      <alignment horizontal="left" vertical="top" wrapText="1"/>
    </xf>
    <xf numFmtId="0" fontId="50" fillId="2" borderId="0" xfId="0" applyFont="1" applyFill="1" applyAlignment="1">
      <alignment horizontal="left" vertical="top"/>
    </xf>
    <xf numFmtId="0" fontId="50" fillId="0" borderId="72" xfId="0" applyFont="1" applyBorder="1" applyAlignment="1">
      <alignment horizontal="left" vertical="top"/>
    </xf>
    <xf numFmtId="0" fontId="64" fillId="2" borderId="54" xfId="0" applyFont="1" applyFill="1" applyBorder="1" applyAlignment="1">
      <alignment horizontal="left" vertical="center"/>
    </xf>
    <xf numFmtId="0" fontId="64" fillId="2" borderId="54" xfId="0" applyFont="1" applyFill="1" applyBorder="1" applyAlignment="1">
      <alignment horizontal="left" vertical="center" wrapText="1"/>
    </xf>
    <xf numFmtId="14" fontId="64" fillId="2" borderId="54" xfId="0" applyNumberFormat="1" applyFont="1" applyFill="1" applyBorder="1" applyAlignment="1">
      <alignment horizontal="left" vertical="center"/>
    </xf>
    <xf numFmtId="49" fontId="64" fillId="2" borderId="54" xfId="0" applyNumberFormat="1" applyFont="1" applyFill="1" applyBorder="1" applyAlignment="1">
      <alignment horizontal="left" vertical="center" readingOrder="1"/>
    </xf>
    <xf numFmtId="3" fontId="64" fillId="2" borderId="54" xfId="0" applyNumberFormat="1" applyFont="1" applyFill="1" applyBorder="1" applyAlignment="1">
      <alignment horizontal="left" vertical="center"/>
    </xf>
    <xf numFmtId="0" fontId="46" fillId="2" borderId="54" xfId="12" applyFont="1" applyFill="1" applyBorder="1" applyAlignment="1">
      <alignment horizontal="left" vertical="center"/>
    </xf>
    <xf numFmtId="0" fontId="64" fillId="2" borderId="71" xfId="0" applyFont="1" applyFill="1" applyBorder="1" applyAlignment="1">
      <alignment horizontal="left" vertical="center"/>
    </xf>
    <xf numFmtId="0" fontId="64" fillId="2" borderId="54" xfId="0" applyFont="1" applyFill="1" applyBorder="1" applyAlignment="1">
      <alignment vertical="center" wrapText="1"/>
    </xf>
    <xf numFmtId="0" fontId="64" fillId="2" borderId="0" xfId="0" applyFont="1" applyFill="1" applyAlignment="1">
      <alignment horizontal="left" vertical="center"/>
    </xf>
    <xf numFmtId="0" fontId="64" fillId="2" borderId="72" xfId="0" applyFont="1" applyFill="1" applyBorder="1" applyAlignment="1">
      <alignment horizontal="left" vertical="center"/>
    </xf>
    <xf numFmtId="0" fontId="15" fillId="3" borderId="66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6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9" fillId="2" borderId="21" xfId="0" applyFont="1" applyFill="1" applyBorder="1" applyAlignment="1">
      <alignment horizontal="center" vertical="center" wrapText="1"/>
    </xf>
    <xf numFmtId="0" fontId="3" fillId="13" borderId="21" xfId="0" applyFont="1" applyFill="1" applyBorder="1" applyAlignment="1">
      <alignment horizontal="center" wrapText="1"/>
    </xf>
    <xf numFmtId="0" fontId="39" fillId="2" borderId="64" xfId="0" applyFont="1" applyFill="1" applyBorder="1" applyAlignment="1">
      <alignment horizontal="center" vertical="center" wrapText="1"/>
    </xf>
    <xf numFmtId="0" fontId="39" fillId="2" borderId="67" xfId="0" applyFont="1" applyFill="1" applyBorder="1" applyAlignment="1">
      <alignment horizontal="center" vertical="center" wrapText="1"/>
    </xf>
    <xf numFmtId="0" fontId="39" fillId="2" borderId="53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3" fillId="11" borderId="21" xfId="0" applyFont="1" applyFill="1" applyBorder="1" applyAlignment="1">
      <alignment horizontal="center"/>
    </xf>
    <xf numFmtId="0" fontId="3" fillId="17" borderId="21" xfId="0" applyFont="1" applyFill="1" applyBorder="1" applyAlignment="1">
      <alignment horizont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4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26" fillId="5" borderId="7" xfId="0" applyFont="1" applyFill="1" applyBorder="1" applyAlignment="1">
      <alignment horizontal="center" vertical="center" wrapText="1"/>
    </xf>
    <xf numFmtId="0" fontId="26" fillId="5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61" xfId="0" applyFont="1" applyFill="1" applyBorder="1" applyAlignment="1">
      <alignment horizontal="center" vertical="center" wrapText="1"/>
    </xf>
    <xf numFmtId="0" fontId="15" fillId="3" borderId="62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wrapText="1"/>
    </xf>
    <xf numFmtId="0" fontId="27" fillId="6" borderId="52" xfId="0" applyFont="1" applyFill="1" applyBorder="1" applyAlignment="1">
      <alignment horizontal="center" vertical="center" wrapText="1"/>
    </xf>
    <xf numFmtId="0" fontId="27" fillId="6" borderId="47" xfId="0" applyFont="1" applyFill="1" applyBorder="1" applyAlignment="1">
      <alignment horizontal="center" vertical="center" wrapText="1"/>
    </xf>
    <xf numFmtId="0" fontId="27" fillId="6" borderId="7" xfId="0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center" vertical="center" wrapText="1"/>
    </xf>
    <xf numFmtId="0" fontId="28" fillId="7" borderId="45" xfId="0" applyFont="1" applyFill="1" applyBorder="1" applyAlignment="1">
      <alignment horizontal="center" vertical="center" wrapText="1"/>
    </xf>
    <xf numFmtId="0" fontId="28" fillId="7" borderId="51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43" fontId="5" fillId="15" borderId="59" xfId="2" applyFont="1" applyFill="1" applyBorder="1" applyAlignment="1">
      <alignment horizontal="center" vertical="center" wrapText="1"/>
    </xf>
    <xf numFmtId="43" fontId="5" fillId="15" borderId="58" xfId="2" applyFont="1" applyFill="1" applyBorder="1" applyAlignment="1">
      <alignment horizontal="center" vertical="center" wrapText="1"/>
    </xf>
    <xf numFmtId="0" fontId="27" fillId="9" borderId="55" xfId="0" applyFont="1" applyFill="1" applyBorder="1" applyAlignment="1">
      <alignment horizontal="center" vertical="center" wrapText="1"/>
    </xf>
    <xf numFmtId="0" fontId="27" fillId="9" borderId="56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55" xfId="0" applyFont="1" applyFill="1" applyBorder="1" applyAlignment="1">
      <alignment horizontal="center" vertical="center" wrapText="1"/>
    </xf>
    <xf numFmtId="0" fontId="15" fillId="3" borderId="60" xfId="0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0" fontId="35" fillId="0" borderId="63" xfId="0" applyFont="1" applyBorder="1" applyAlignment="1">
      <alignment horizontal="center"/>
    </xf>
    <xf numFmtId="0" fontId="18" fillId="3" borderId="12" xfId="0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/>
    </xf>
    <xf numFmtId="0" fontId="5" fillId="3" borderId="18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 wrapText="1"/>
    </xf>
    <xf numFmtId="43" fontId="16" fillId="3" borderId="0" xfId="2" applyFont="1" applyFill="1" applyBorder="1" applyAlignment="1">
      <alignment horizontal="center" vertical="center" wrapText="1"/>
    </xf>
    <xf numFmtId="43" fontId="16" fillId="3" borderId="33" xfId="2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5" fillId="3" borderId="42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/>
    </xf>
    <xf numFmtId="0" fontId="19" fillId="0" borderId="37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2" fontId="5" fillId="3" borderId="9" xfId="2" applyNumberFormat="1" applyFont="1" applyFill="1" applyBorder="1" applyAlignment="1">
      <alignment horizontal="center" vertical="center"/>
    </xf>
    <xf numFmtId="2" fontId="5" fillId="3" borderId="8" xfId="2" applyNumberFormat="1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</cellXfs>
  <cellStyles count="14">
    <cellStyle name="Hiperlink" xfId="13" builtinId="8"/>
    <cellStyle name="Hyperlink" xfId="12" xr:uid="{00000000-000B-0000-0000-000008000000}"/>
    <cellStyle name="Moeda 2" xfId="7" xr:uid="{00000000-0005-0000-0000-000001000000}"/>
    <cellStyle name="Moeda 2 2" xfId="11" xr:uid="{00000000-0005-0000-0000-000002000000}"/>
    <cellStyle name="Moeda 3" xfId="9" xr:uid="{00000000-0005-0000-0000-000003000000}"/>
    <cellStyle name="Moeda 4" xfId="4" xr:uid="{00000000-0005-0000-0000-000004000000}"/>
    <cellStyle name="Normal" xfId="0" builtinId="0"/>
    <cellStyle name="Normal 2" xfId="3" xr:uid="{00000000-0005-0000-0000-000006000000}"/>
    <cellStyle name="Normal 2 2" xfId="6" xr:uid="{00000000-0005-0000-0000-000007000000}"/>
    <cellStyle name="Normal 6" xfId="8" xr:uid="{00000000-0005-0000-0000-000008000000}"/>
    <cellStyle name="Vírgula" xfId="2" builtinId="3"/>
    <cellStyle name="Vírgula 2" xfId="1" xr:uid="{00000000-0005-0000-0000-00000A000000}"/>
    <cellStyle name="Vírgula 2 2" xfId="10" xr:uid="{00000000-0005-0000-0000-00000B000000}"/>
    <cellStyle name="Vírgula 3" xfId="5" xr:uid="{00000000-0005-0000-0000-00000C000000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17FDB"/>
      <color rgb="FF88ECA2"/>
      <color rgb="FFFFFF99"/>
      <color rgb="FFACF2BE"/>
      <color rgb="FF5AE4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IARA Santos Souza Xavier" id="{CD4A3A99-E8FD-4D2F-A187-896469D27035}" userId="S::naiara.xavier@fieb.org.br::19035d71-60e4-4ab8-b89a-e3fc5b4e7b51" providerId="AD"/>
  <person displayName="Geovana Carla dos Anjos S dos Santos" id="{E22DB669-A3C8-4588-BDE5-27EA10240956}" userId="S::geovana.santos@fbter.org.br::ebd1c0e9-10b6-4c36-8a23-7ffe8a04c4e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E dos Santos Mendes" refreshedDate="45993.484710648147" createdVersion="8" refreshedVersion="8" minRefreshableVersion="3" recordCount="612" xr:uid="{6DEB14FF-0222-4A40-A94D-7726088C6DC6}">
  <cacheSource type="worksheet">
    <worksheetSource ref="A1:R565" sheet="PAGANTE"/>
  </cacheSource>
  <cacheFields count="18">
    <cacheField name="Período letivo" numFmtId="0">
      <sharedItems containsBlank="1"/>
    </cacheField>
    <cacheField name="Turma" numFmtId="0">
      <sharedItems containsString="0" containsBlank="1" containsNumber="1" containsInteger="1" minValue="101622" maxValue="101631"/>
    </cacheField>
    <cacheField name="Análise Documental" numFmtId="0">
      <sharedItems containsBlank="1" count="3">
        <s v="Matriculado"/>
        <s v="Análise Documental"/>
        <m/>
      </sharedItems>
    </cacheField>
    <cacheField name="Curso" numFmtId="0">
      <sharedItems containsBlank="1" count="10">
        <s v="Técnico em Manutenção Automotiva"/>
        <s v="Técnico em Redes de Computadores"/>
        <s v="Técnico em Biotecnologia"/>
        <s v="Técnico em Eletrotécnica"/>
        <s v="Técnico em Petroquímica"/>
        <s v="Técnico em Mecânica"/>
        <s v="Técnico em Desenvolvimento de Sistemas"/>
        <s v="Técnico em Multimídia"/>
        <s v="Técnico em Logística"/>
        <m/>
      </sharedItems>
    </cacheField>
    <cacheField name="Turno" numFmtId="0">
      <sharedItems containsBlank="1"/>
    </cacheField>
    <cacheField name="Tipo de matrícula" numFmtId="0">
      <sharedItems containsBlank="1"/>
    </cacheField>
    <cacheField name="Data de matrícula" numFmtId="0">
      <sharedItems containsNonDate="0" containsDate="1" containsString="0" containsBlank="1" minDate="2025-11-12T00:00:00" maxDate="2025-12-03T00:00:00"/>
    </cacheField>
    <cacheField name="Aluno" numFmtId="0">
      <sharedItems containsBlank="1"/>
    </cacheField>
    <cacheField name="RA" numFmtId="0">
      <sharedItems containsBlank="1" containsMixedTypes="1" containsNumber="1" containsInteger="1" minValue="11226787" maxValue="232976704"/>
    </cacheField>
    <cacheField name="E-mail" numFmtId="0">
      <sharedItems containsBlank="1"/>
    </cacheField>
    <cacheField name="TELEFONE1" numFmtId="0">
      <sharedItems containsBlank="1" containsMixedTypes="1" containsNumber="1" containsInteger="1" minValue="71981705814" maxValue="79988931405"/>
    </cacheField>
    <cacheField name="TELEFONE2" numFmtId="0">
      <sharedItems containsBlank="1" containsMixedTypes="1" containsNumber="1" containsInteger="1" minValue="71981705814" maxValue="79988931405"/>
    </cacheField>
    <cacheField name="Atendente" numFmtId="0">
      <sharedItems containsBlank="1"/>
    </cacheField>
    <cacheField name="Status do Contato" numFmtId="0">
      <sharedItems containsBlank="1"/>
    </cacheField>
    <cacheField name="Documento pendente" numFmtId="0">
      <sharedItems containsBlank="1"/>
    </cacheField>
    <cacheField name="ALUNO SESI? LANÇAR O DESCONTO NA BOLSA FUTURA" numFmtId="0">
      <sharedItems containsBlank="1"/>
    </cacheField>
    <cacheField name="Algum outro documento anexado,  para lançar desconto?" numFmtId="0">
      <sharedItems containsBlank="1"/>
    </cacheField>
    <cacheField name="OB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2">
  <r>
    <s v="20261C"/>
    <n v="101626"/>
    <x v="0"/>
    <x v="0"/>
    <s v="NOTURNO"/>
    <s v="Matrícula"/>
    <d v="2025-11-17T00:00:00"/>
    <s v="Wesley Brandão Profeta dos Santos"/>
    <s v="025.042559"/>
    <s v="wesleybrandao8623@gmail.com"/>
    <n v="71985259062"/>
    <n v="71985259062"/>
    <m/>
    <m/>
    <m/>
    <m/>
    <m/>
    <m/>
  </r>
  <r>
    <s v="20261C"/>
    <n v="101631"/>
    <x v="0"/>
    <x v="1"/>
    <s v="NOTURNO"/>
    <s v="Matrícula"/>
    <d v="2025-11-17T00:00:00"/>
    <s v="Ederson Santos Nascimento"/>
    <s v="013.348363"/>
    <s v="edersons345@gmail.com"/>
    <n v="71988887819"/>
    <n v="71988887819"/>
    <m/>
    <m/>
    <m/>
    <m/>
    <m/>
    <m/>
  </r>
  <r>
    <s v="20261C"/>
    <n v="101622"/>
    <x v="0"/>
    <x v="2"/>
    <s v="MATUTINO"/>
    <s v="Matrícula"/>
    <d v="2025-11-17T00:00:00"/>
    <s v="Marta Moraes Gomes"/>
    <s v="025.050631"/>
    <s v="martasmoraes@gmail.com"/>
    <n v="71991503249"/>
    <n v="71991503249"/>
    <m/>
    <m/>
    <m/>
    <m/>
    <m/>
    <m/>
  </r>
  <r>
    <s v="20261C"/>
    <n v="101624"/>
    <x v="0"/>
    <x v="3"/>
    <s v="NOTURNO"/>
    <s v="Matrícula"/>
    <d v="2025-11-17T00:00:00"/>
    <s v="Andrey Braga Martinez"/>
    <s v="025.050681"/>
    <s v="andreybragamartinez@gmail.com"/>
    <n v="79988931405"/>
    <n v="79988931405"/>
    <m/>
    <m/>
    <m/>
    <m/>
    <m/>
    <m/>
  </r>
  <r>
    <s v="20261C"/>
    <n v="101630"/>
    <x v="0"/>
    <x v="4"/>
    <s v="NOTURNO"/>
    <s v="Matrícula"/>
    <d v="2025-11-17T00:00:00"/>
    <s v="José dos Santos Borges Neto"/>
    <s v="025.050685"/>
    <s v="joseneto.borges07@hotmail.com"/>
    <n v="71996391707"/>
    <n v="71996391707"/>
    <m/>
    <m/>
    <m/>
    <m/>
    <m/>
    <m/>
  </r>
  <r>
    <s v="20261C"/>
    <n v="101627"/>
    <x v="0"/>
    <x v="5"/>
    <s v="NOTURNO"/>
    <s v="Matrícula"/>
    <d v="2025-11-17T00:00:00"/>
    <s v="Antônio Vagner Rodrigues de Oliveira"/>
    <s v="025.050772"/>
    <s v="dulce.enfa@gmail.com"/>
    <n v="71991690172"/>
    <n v="71991690172"/>
    <m/>
    <m/>
    <m/>
    <m/>
    <m/>
    <m/>
  </r>
  <r>
    <s v="20261C"/>
    <n v="101623"/>
    <x v="0"/>
    <x v="6"/>
    <s v="NOTURNO"/>
    <s v="Matrícula"/>
    <d v="2025-11-18T00:00:00"/>
    <s v="Kauê Dias Sá Barreto"/>
    <s v="025.050867"/>
    <s v="kauedsbarreto@gmail.com"/>
    <n v="71999427728"/>
    <n v="71999427728"/>
    <m/>
    <s v="Não atendeu"/>
    <s v="Comprovante de Escolaridade Frente e Verso "/>
    <m/>
    <m/>
    <s v="E-mail enviando solicitando Compro. de Escolari. 24/11 Ariana "/>
  </r>
  <r>
    <s v="20261C"/>
    <n v="101624"/>
    <x v="0"/>
    <x v="3"/>
    <s v="NOTURNO"/>
    <s v="Matrícula"/>
    <d v="2025-11-18T00:00:00"/>
    <s v="Robson Neves dos Anjos"/>
    <n v="20749338"/>
    <s v="robsonn262@gmail.com"/>
    <n v="71996515083"/>
    <n v="71996515083"/>
    <m/>
    <m/>
    <s v="Lançar desconto"/>
    <m/>
    <s v="Funcionário Sistema Fieb "/>
    <s v="Desconto de colaborador lançado nas mensalidades, 21/11 camila"/>
  </r>
  <r>
    <s v="20261C"/>
    <n v="101624"/>
    <x v="0"/>
    <x v="3"/>
    <s v="NOTURNO"/>
    <s v="Matrícula"/>
    <d v="2025-11-18T00:00:00"/>
    <s v="Kallindi Vilas Boas Dias"/>
    <s v="025.051075"/>
    <s v="elainevb55@gmail.com"/>
    <n v="71996180232"/>
    <n v="71996180232"/>
    <m/>
    <m/>
    <m/>
    <m/>
    <m/>
    <m/>
  </r>
  <r>
    <s v="20261C"/>
    <n v="101629"/>
    <x v="0"/>
    <x v="7"/>
    <s v="NOTURNO"/>
    <s v="Matrícula"/>
    <d v="2025-11-12T00:00:00"/>
    <s v="Luka Galante Castro de Oliveira"/>
    <n v="25049812"/>
    <s v="lgalantecastrodeoliveira@gmail.com"/>
    <n v="71996244922"/>
    <n v="71991454712"/>
    <m/>
    <s v="Não atendeu"/>
    <s v="Foto Atualizada 3X4"/>
    <m/>
    <m/>
    <s v="E-mail enviando solicitando Foto 3x4 . 24/11 Ariana "/>
  </r>
  <r>
    <s v="20261C"/>
    <n v="101623"/>
    <x v="0"/>
    <x v="6"/>
    <s v="NOTURNO"/>
    <s v="Matrícula"/>
    <d v="2025-11-21T00:00:00"/>
    <s v="Marcelo Guimarães da Silva"/>
    <n v="232976277"/>
    <m/>
    <m/>
    <m/>
    <m/>
    <m/>
    <m/>
    <m/>
    <m/>
    <m/>
  </r>
  <r>
    <s v="20261C"/>
    <n v="101630"/>
    <x v="0"/>
    <x v="4"/>
    <s v="NOTURNO"/>
    <s v="Matrícula"/>
    <d v="2025-11-19T00:00:00"/>
    <s v="Bruno Das Dores Santos"/>
    <n v="25051421"/>
    <s v="brunosantosfilho10@gmail.com"/>
    <n v="71992982723"/>
    <n v="71992982723"/>
    <s v="Geovana"/>
    <m/>
    <m/>
    <m/>
    <m/>
    <m/>
  </r>
  <r>
    <s v="20261C"/>
    <n v="101626"/>
    <x v="1"/>
    <x v="0"/>
    <s v="NOTURNO"/>
    <s v="Matrícula"/>
    <d v="2025-11-19T00:00:00"/>
    <s v="Christiano Carvalho"/>
    <n v="25051410"/>
    <s v="christianocarvalhonet@gmail.com"/>
    <n v="71992510712"/>
    <n v="71992510712"/>
    <s v="Ariana "/>
    <s v="Não atendeu"/>
    <s v="Comprovante de escolaridade"/>
    <m/>
    <m/>
    <s v="E-mail de cobrabça enviado 24/11- Ariana| contato sem sucesso - 01/12-ARIANA"/>
  </r>
  <r>
    <s v="20261C"/>
    <n v="101627"/>
    <x v="0"/>
    <x v="5"/>
    <s v="NOTURNO"/>
    <s v="Matrícula"/>
    <d v="2025-11-12T00:00:00"/>
    <s v="Ednaldo José Souza Ribeiro Junior"/>
    <n v="14448279"/>
    <s v="ednaldoribeirojr@gmail.com"/>
    <n v="71981890805"/>
    <n v="71981890805"/>
    <s v="Geovana"/>
    <m/>
    <s v="Lançar desconto"/>
    <m/>
    <m/>
    <m/>
  </r>
  <r>
    <s v="20261C"/>
    <n v="101624"/>
    <x v="0"/>
    <x v="3"/>
    <s v="NOTURNO"/>
    <s v="Matrícula"/>
    <d v="2025-11-18T00:00:00"/>
    <s v="Edvan Santos de Antão"/>
    <n v="25051062"/>
    <s v="edvan.antao29@gmail.com"/>
    <n v="75982593011"/>
    <n v="75982593011"/>
    <s v="Geovana"/>
    <m/>
    <s v="Comprovante  Endereço"/>
    <m/>
    <m/>
    <s v="Documento recebido e validado. 24/11 Ariana"/>
  </r>
  <r>
    <s v="20261C"/>
    <n v="101624"/>
    <x v="0"/>
    <x v="3"/>
    <s v="NOTURNO"/>
    <s v="Matrícula"/>
    <d v="2025-11-19T00:00:00"/>
    <s v="Gabriel Luiz Santos e Santos"/>
    <n v="25051469"/>
    <s v="g7856400@gmail.com"/>
    <n v="71988596479"/>
    <n v="71988596479"/>
    <s v="Geovana"/>
    <m/>
    <m/>
    <m/>
    <m/>
    <m/>
  </r>
  <r>
    <s v="20261C"/>
    <n v="101624"/>
    <x v="0"/>
    <x v="3"/>
    <s v="NOTURNO"/>
    <s v="Matrícula"/>
    <d v="2025-11-18T00:00:00"/>
    <s v="Ildemar de Carvalho Lima Junior"/>
    <n v="25051077"/>
    <s v="ildemarjunior15@hotmail.com"/>
    <n v="71993383316"/>
    <n v="71993383316"/>
    <s v="Geovana"/>
    <m/>
    <m/>
    <m/>
    <m/>
    <m/>
  </r>
  <r>
    <s v="20261C"/>
    <n v="101624"/>
    <x v="0"/>
    <x v="3"/>
    <s v="NOTURNO"/>
    <s v="Matrícula"/>
    <d v="2025-11-19T00:00:00"/>
    <s v="Jean Vitor dos Santos Silva"/>
    <n v="25051435"/>
    <s v="jeanvitorsantos68@gmail.com"/>
    <n v="71993860543"/>
    <n v="71993860543"/>
    <m/>
    <m/>
    <m/>
    <m/>
    <m/>
    <m/>
  </r>
  <r>
    <s v="20261C"/>
    <n v="101629"/>
    <x v="0"/>
    <x v="7"/>
    <s v="NOTURNO"/>
    <s v="Matrícula"/>
    <d v="2025-11-17T00:00:00"/>
    <s v="Luís Augusto Oliveira de Castro Araújo"/>
    <n v="25050694"/>
    <s v="luisaugustobr490@gmail.com"/>
    <n v="71998181157"/>
    <n v="71998181157"/>
    <s v="Ariana "/>
    <m/>
    <m/>
    <m/>
    <m/>
    <s v="Documento Validado Ariana 25/11"/>
  </r>
  <r>
    <s v="20261C"/>
    <n v="101626"/>
    <x v="0"/>
    <x v="0"/>
    <s v="NOTURNO"/>
    <s v="Matrícula"/>
    <d v="2025-11-17T00:00:00"/>
    <s v="Pedro Paulo Lopes Ornelas"/>
    <n v="25050820"/>
    <s v="ornellasempreendedor@gmail.com"/>
    <n v="71992728151"/>
    <n v="71992728151"/>
    <m/>
    <m/>
    <m/>
    <m/>
    <m/>
    <m/>
  </r>
  <r>
    <s v="20261C"/>
    <n v="101623"/>
    <x v="0"/>
    <x v="6"/>
    <s v="NOTURNO"/>
    <s v="Matrícula"/>
    <d v="2025-11-21T00:00:00"/>
    <s v="Tarcis Rangel Benicio dos Santos"/>
    <n v="25051798"/>
    <s v="jltbenicio@hotmail.com"/>
    <m/>
    <n v="71992034545"/>
    <m/>
    <m/>
    <m/>
    <s v="Lançar desconto"/>
    <m/>
    <m/>
  </r>
  <r>
    <s v="20261C"/>
    <n v="101624"/>
    <x v="0"/>
    <x v="3"/>
    <s v="NOTURNO"/>
    <s v="Matrícula"/>
    <d v="2025-11-21T00:00:00"/>
    <s v="Valnei Pinto Rocha"/>
    <n v="91147218"/>
    <s v="rochavalnei132@gmail.com"/>
    <n v="71987444897"/>
    <n v="71991610719"/>
    <m/>
    <m/>
    <m/>
    <s v="Matriculado"/>
    <m/>
    <s v="Desconto de colaborador lançado nas mensalidades, 21/11 camila"/>
  </r>
  <r>
    <s v="20261C"/>
    <n v="101624"/>
    <x v="0"/>
    <x v="3"/>
    <s v="NOTURNO"/>
    <s v="Matrícula"/>
    <d v="2025-11-17T00:00:00"/>
    <s v="Willyan Gustavo barbosa da purificação"/>
    <n v="25050736"/>
    <s v="Barbosa.gustavo2008@gmail.com"/>
    <n v="71989520551"/>
    <n v="71989520551"/>
    <s v="Ariana "/>
    <s v="Não atendeu"/>
    <s v="Comporv de reside, escolaridade,CPF RESPON.Ariana"/>
    <m/>
    <m/>
    <m/>
  </r>
  <r>
    <s v="20261C"/>
    <n v="101624"/>
    <x v="0"/>
    <x v="3"/>
    <s v="NOTURNO"/>
    <s v="Matrícula"/>
    <d v="2025-11-19T00:00:00"/>
    <s v="Daniel Matos de Matos"/>
    <n v="21860109"/>
    <s v="daniel357matos@gmail.com"/>
    <n v="71982591244"/>
    <m/>
    <s v="Ariana "/>
    <m/>
    <m/>
    <m/>
    <m/>
    <m/>
  </r>
  <r>
    <s v="20261C"/>
    <n v="101630"/>
    <x v="0"/>
    <x v="4"/>
    <s v="NOTURNO"/>
    <s v="Matrícula"/>
    <d v="2025-11-21T00:00:00"/>
    <s v="Deivisson Machado Pires"/>
    <n v="25051875"/>
    <s v="deivissonmachado504@gmail.com"/>
    <n v="71992031345"/>
    <m/>
    <s v="Ariana "/>
    <m/>
    <m/>
    <m/>
    <m/>
    <m/>
  </r>
  <r>
    <s v="20261C"/>
    <n v="101630"/>
    <x v="0"/>
    <x v="4"/>
    <s v="NOTURNO"/>
    <s v="Matrícula"/>
    <d v="2025-11-24T00:00:00"/>
    <s v="Itamar Sampaio Passos Junior"/>
    <n v="11226787"/>
    <s v="jrsampaio3@gmail.com"/>
    <s v="7198886-4464"/>
    <s v="7198886-4464"/>
    <s v="Geovana"/>
    <m/>
    <m/>
    <m/>
    <m/>
    <m/>
  </r>
  <r>
    <s v="20261C"/>
    <n v="101630"/>
    <x v="0"/>
    <x v="4"/>
    <s v="NOTURNO"/>
    <s v="Matrícula"/>
    <d v="2025-11-24T00:00:00"/>
    <s v="Marcos Fellipe de Jesus Santos"/>
    <n v="23992928"/>
    <s v="marcosfellipe387604@gmail.com"/>
    <s v="7199233-9492"/>
    <s v="7199233-9492"/>
    <s v="Geovana"/>
    <m/>
    <m/>
    <m/>
    <m/>
    <m/>
  </r>
  <r>
    <s v="20261C"/>
    <n v="101623"/>
    <x v="0"/>
    <x v="6"/>
    <s v="NOTURNO"/>
    <s v="Matrícula"/>
    <d v="2025-11-24T00:00:00"/>
    <s v="Rafael Fernandes dos Santos"/>
    <n v="162635325"/>
    <s v="arelsantos.0@gmail.com"/>
    <s v="7198335-2042"/>
    <s v="7198335-2042"/>
    <s v="Geovana"/>
    <m/>
    <m/>
    <m/>
    <m/>
    <m/>
  </r>
  <r>
    <s v="20261C"/>
    <n v="101626"/>
    <x v="0"/>
    <x v="0"/>
    <s v="NOTURNO"/>
    <s v="Matrícula"/>
    <d v="2025-11-24T00:00:00"/>
    <s v="Diego Souza Pires"/>
    <n v="25050598"/>
    <s v="pires0905@gmail.com"/>
    <s v="7199203-1345"/>
    <s v="7199203-1345"/>
    <s v="Geovana"/>
    <m/>
    <m/>
    <m/>
    <m/>
    <m/>
  </r>
  <r>
    <s v="20261C"/>
    <n v="101624"/>
    <x v="0"/>
    <x v="3"/>
    <s v="NOTURNO"/>
    <s v="Matrícula"/>
    <d v="2025-11-24T00:00:00"/>
    <s v="Felipe dos Santos Oliveira"/>
    <n v="25050776"/>
    <s v="felipe.elma@gmail.com"/>
    <s v="7199953-6944"/>
    <s v="7199953-6944"/>
    <s v="Geovana"/>
    <m/>
    <m/>
    <m/>
    <m/>
    <m/>
  </r>
  <r>
    <s v="20261C"/>
    <n v="101630"/>
    <x v="0"/>
    <x v="4"/>
    <s v="NOTURNO"/>
    <s v="Matrícula"/>
    <d v="2025-11-24T00:00:00"/>
    <s v="Josias Gabriel Coura Marques"/>
    <n v="21813591"/>
    <s v="couramaria603@gmail.com"/>
    <s v="7198231-9838"/>
    <s v="7198231-9838"/>
    <s v="Geovana"/>
    <m/>
    <m/>
    <m/>
    <m/>
    <m/>
  </r>
  <r>
    <s v="20261C"/>
    <n v="101624"/>
    <x v="0"/>
    <x v="3"/>
    <s v="NOTURNO"/>
    <s v="Matrícula"/>
    <d v="2025-11-24T00:00:00"/>
    <s v="Luciano Pereira da Costa"/>
    <n v="14418694"/>
    <s v="costatech.solucoes@gmail.com"/>
    <s v="7199106-9261"/>
    <s v="7199106-9261"/>
    <s v="Geovana"/>
    <m/>
    <m/>
    <s v="Lançar desconto"/>
    <m/>
    <m/>
  </r>
  <r>
    <s v="20261C"/>
    <n v="101623"/>
    <x v="1"/>
    <x v="6"/>
    <s v="NOTURNO"/>
    <s v="Matrícula"/>
    <d v="2025-11-22T00:00:00"/>
    <s v="Ariel de Azevedo Barbosa"/>
    <n v="25052036"/>
    <s v="Aless.barbosa@gmail.com (Pai de Ariel)"/>
    <n v="71994159798"/>
    <m/>
    <s v="Ariana "/>
    <s v="Não atendeu"/>
    <s v="Comprovante de escolaridade"/>
    <m/>
    <m/>
    <s v="E-mail  de cobrança enviado 25/11/ | contato com sucesso, Pai de Ariel informou que irá enviar 26/11- ARIANA"/>
  </r>
  <r>
    <s v="20261C"/>
    <n v="101623"/>
    <x v="0"/>
    <x v="6"/>
    <s v="NOTURNO"/>
    <s v="Matrícula "/>
    <d v="2025-11-24T00:00:00"/>
    <s v="Guilherme Carneiro Andrade"/>
    <n v="25007098"/>
    <s v="andradegui730@gmail.com"/>
    <s v="7199743-7181"/>
    <s v="7199743-7181"/>
    <s v="Geovana"/>
    <m/>
    <m/>
    <s v="Lançar desconto"/>
    <s v="Aluno do Sesi "/>
    <s v="Amanhã 25/11 veriifca com Camila sobre possivel desconto ."/>
  </r>
  <r>
    <s v="2026IC "/>
    <n v="101623"/>
    <x v="1"/>
    <x v="6"/>
    <s v="NOTURNO"/>
    <s v="Matrícula"/>
    <d v="2025-11-19T00:00:00"/>
    <s v="Samuel Conceição Carmo"/>
    <n v="25051126"/>
    <s v="pinpin.claudio@gmail.com"/>
    <n v="71993783720"/>
    <n v="71993783720"/>
    <s v="Ariana "/>
    <s v="Telefone na caixa postal"/>
    <s v="Comprovante de escolaridade"/>
    <m/>
    <m/>
    <s v="Anexou o comp escolaridade do 1° ano do ensino médio, encaminhado e-mail de cobrança 24/11/  Ligação sem sucesso,  e encaminhado e-mail novamente 01/12-ARIANA"/>
  </r>
  <r>
    <s v="20261C"/>
    <n v="101624"/>
    <x v="0"/>
    <x v="3"/>
    <s v="NOTURNO"/>
    <s v="Matrícula"/>
    <d v="2025-11-25T00:00:00"/>
    <s v="Fabio Bezerra da Silva"/>
    <n v="25051876"/>
    <s v="astania46@gmail.com"/>
    <s v="7199200-0067"/>
    <s v="7199200-0067"/>
    <s v="Geovana"/>
    <m/>
    <m/>
    <m/>
    <m/>
    <m/>
  </r>
  <r>
    <s v="20261C"/>
    <n v="101626"/>
    <x v="0"/>
    <x v="0"/>
    <s v="NOTURNO"/>
    <s v="Matrícula"/>
    <d v="2025-11-25T00:00:00"/>
    <s v="Charles do Rosario Maia"/>
    <n v="25051015"/>
    <s v="charlesdorosariomaia@gmail.com"/>
    <s v="7198138-1030"/>
    <s v="7198138-1030"/>
    <s v="Geovana"/>
    <m/>
    <m/>
    <m/>
    <m/>
    <m/>
  </r>
  <r>
    <s v="20261C"/>
    <n v="101623"/>
    <x v="0"/>
    <x v="6"/>
    <s v="NOTURNO"/>
    <s v="Matrícula"/>
    <d v="2025-11-25T00:00:00"/>
    <s v="Thiago dos Santos da Silva"/>
    <n v="25015310"/>
    <s v="ts4133010@gmail.com"/>
    <s v="7599105-7319"/>
    <s v="7599105-7319"/>
    <s v="Geovana"/>
    <m/>
    <m/>
    <m/>
    <m/>
    <m/>
  </r>
  <r>
    <s v="20261C"/>
    <n v="101624"/>
    <x v="0"/>
    <x v="3"/>
    <s v="NOTURNO"/>
    <s v="Matrícula"/>
    <d v="2025-11-25T00:00:00"/>
    <s v="Samuel Alves Pinheiro de Jesus"/>
    <n v="19707612"/>
    <s v="alvesjesuss@hotmail.com"/>
    <s v="7199298-2916"/>
    <s v="7199298-2916"/>
    <s v="Geovana"/>
    <m/>
    <m/>
    <m/>
    <m/>
    <m/>
  </r>
  <r>
    <s v="20261C"/>
    <n v="101624"/>
    <x v="0"/>
    <x v="3"/>
    <s v="NOTURNO"/>
    <s v="Matrícula"/>
    <d v="2025-11-22T00:00:00"/>
    <s v="Isaac Moreira Lima"/>
    <n v="25050222"/>
    <s v="isacmoreiral8ma6@gmail.com"/>
    <n v="71998014240"/>
    <n v="74998014240"/>
    <s v="Geovana"/>
    <m/>
    <m/>
    <m/>
    <m/>
    <m/>
  </r>
  <r>
    <s v="20261C"/>
    <n v="101624"/>
    <x v="0"/>
    <x v="3"/>
    <s v="NOTURNO"/>
    <s v="Matrícula"/>
    <d v="2025-11-17T00:00:00"/>
    <s v="Jeferson Alves Santos"/>
    <n v="25050669"/>
    <s v="jeoalves16@gmail.com"/>
    <n v="71993406019"/>
    <n v="71993406019"/>
    <s v="Geovana"/>
    <m/>
    <m/>
    <m/>
    <m/>
    <m/>
  </r>
  <r>
    <s v="20261C"/>
    <n v="101623"/>
    <x v="1"/>
    <x v="6"/>
    <s v="NOTURNO"/>
    <s v="Matrícula"/>
    <d v="2025-11-24T00:00:00"/>
    <s v="Francisco Rian Luz dos Reis"/>
    <n v="25052250"/>
    <s v="lysiereis@gmail.com"/>
    <n v="71993215554"/>
    <n v="71993215554"/>
    <s v="Ariana "/>
    <s v="Enviará o documento"/>
    <s v="Comprovante de escolaridade"/>
    <m/>
    <m/>
    <s v="Anexou o comp escolaridade do 1° ano do ensino médio, encaminhado e-mail de cobrança 26/11| ligação com sucesso, &quot;mãe de Franciso Ciente da documento que precisa entregar e informou que irá aguardar o colegio emitir o documento correto, 01/12-ARIANA"/>
  </r>
  <r>
    <s v="20261C"/>
    <n v="101624"/>
    <x v="0"/>
    <x v="3"/>
    <s v="NOTURNO"/>
    <s v="Matrícula"/>
    <d v="2025-11-25T00:00:00"/>
    <s v="alejandro do nascimento moura leite"/>
    <n v="25052479"/>
    <s v="alejandroleite2001@gmail.com"/>
    <n v="71994180197"/>
    <n v="71994180197"/>
    <m/>
    <m/>
    <m/>
    <m/>
    <m/>
    <m/>
  </r>
  <r>
    <s v="20261C"/>
    <n v="101626"/>
    <x v="0"/>
    <x v="0"/>
    <s v="NOTURNO"/>
    <s v="Matrícula"/>
    <d v="2025-11-25T00:00:00"/>
    <s v="Carlos Daniel Pinheiro Almeida"/>
    <n v="21859404"/>
    <s v="Carlosdanielpinheiroa@gmail.com"/>
    <n v="71984761912"/>
    <n v="71984761912"/>
    <s v="Geovana"/>
    <m/>
    <m/>
    <m/>
    <m/>
    <m/>
  </r>
  <r>
    <s v="20261C"/>
    <n v="101624"/>
    <x v="0"/>
    <x v="3"/>
    <s v="NOTURNO"/>
    <s v="Matrícula"/>
    <d v="2025-11-25T00:00:00"/>
    <s v="cauã dos anjos da mota"/>
    <n v="25052596"/>
    <s v="anjosc676@gmail.com"/>
    <n v="71981705814"/>
    <n v="71981705814"/>
    <m/>
    <m/>
    <s v="Historico Escolar do Ensino médio"/>
    <m/>
    <m/>
    <s v="Solicitar o Histórico Escolar do Ensino Médio"/>
  </r>
  <r>
    <s v="20261C"/>
    <n v="101630"/>
    <x v="0"/>
    <x v="4"/>
    <s v="NOTURNO"/>
    <s v="Matrícula"/>
    <d v="2025-11-19T00:00:00"/>
    <s v="Gisele Bonfim da silva"/>
    <n v="25051542"/>
    <s v="giselle.silvags19@icloud.com"/>
    <n v="71986315557"/>
    <n v="71986315557"/>
    <m/>
    <m/>
    <m/>
    <m/>
    <m/>
    <m/>
  </r>
  <r>
    <s v="20261C"/>
    <n v="101623"/>
    <x v="0"/>
    <x v="6"/>
    <s v="NOTURNO"/>
    <s v="Matrícula"/>
    <d v="2025-11-25T00:00:00"/>
    <s v="Isaque Soares dos Santos"/>
    <n v="19713126"/>
    <s v="santosisaquesoares@gmail.com"/>
    <n v="71999868297"/>
    <n v="71999868297"/>
    <m/>
    <m/>
    <m/>
    <m/>
    <m/>
    <m/>
  </r>
  <r>
    <s v="20261C"/>
    <n v="101627"/>
    <x v="1"/>
    <x v="5"/>
    <s v="NOTURNO"/>
    <s v="Matrícula"/>
    <d v="2025-11-25T00:00:00"/>
    <s v="Jadson Pinheiro Almeida"/>
    <n v="14456186"/>
    <s v="jadson-2000@hotmail.com"/>
    <n v="71982690626"/>
    <n v="71982690626"/>
    <s v="Ariana "/>
    <s v="Não atendeu"/>
    <s v="Comprovante de escolaridade"/>
    <m/>
    <m/>
    <s v="Encaminhado e-mail 25/11 tentiva de contato sem sucesso 01/12 "/>
  </r>
  <r>
    <s v="20261C"/>
    <n v="101623"/>
    <x v="1"/>
    <x v="6"/>
    <s v="NOTURNO"/>
    <s v="Matrícula"/>
    <d v="2025-11-17T00:00:00"/>
    <s v="Erick Maia Santos"/>
    <s v="021.835344"/>
    <s v="maiasantosxd133@gmail.com"/>
    <n v="71983870951"/>
    <n v="71983870951"/>
    <s v="Camila"/>
    <s v="Enviará o documento"/>
    <s v="Escolaridade"/>
    <m/>
    <m/>
    <s v="Documento EJA, Encaminhado e-mail de cobrança, camila/ CURSO CANCELADO, E-MAIL ENVIADO-CAMILA 25/11| APÓS DADOS BANCARIOS ENCAMINHADO, ALUNO INFORMOU QUE TERIA COMO ENTREGAR O DOCUMENTO, DEIXAREI EM ANÁLISE. RESALTO QUE FOI INFORMADO QUE NÃO TERÁ VAGA &quot;GUARDADA&quot;, CAMILA 01/12"/>
  </r>
  <r>
    <s v="20261C"/>
    <n v="101627"/>
    <x v="0"/>
    <x v="5"/>
    <s v="NOTURNO"/>
    <s v="Matrícula"/>
    <d v="2025-11-26T00:00:00"/>
    <s v="Felipe Rosário Souza"/>
    <n v="232976704"/>
    <s v="feliperosariosouza87@gmail.com"/>
    <s v="7198202-6572"/>
    <s v="7198202-6572"/>
    <s v="Geovana"/>
    <m/>
    <m/>
    <m/>
    <m/>
    <m/>
  </r>
  <r>
    <s v="20261C"/>
    <n v="101625"/>
    <x v="0"/>
    <x v="8"/>
    <s v="NOTURNO"/>
    <s v="Matrícula"/>
    <d v="2025-11-18T00:00:00"/>
    <s v="Renan Borges Noranha Silva"/>
    <n v="21813377"/>
    <s v="RENANBORGES262005@GMAIL.COM"/>
    <n v="71991502200"/>
    <n v="71991502200"/>
    <m/>
    <m/>
    <m/>
    <m/>
    <m/>
    <m/>
  </r>
  <r>
    <s v="20261C"/>
    <n v="101624"/>
    <x v="0"/>
    <x v="3"/>
    <s v="NOTURNO"/>
    <s v="Matrícula"/>
    <d v="2025-11-20T00:00:00"/>
    <s v="Samuel Pena dos Santos"/>
    <n v="25051590"/>
    <s v="samuelpena2803@gmail.com"/>
    <n v="71999655339"/>
    <n v="71999655339"/>
    <m/>
    <m/>
    <m/>
    <m/>
    <m/>
    <m/>
  </r>
  <r>
    <s v="20261C"/>
    <n v="101623"/>
    <x v="0"/>
    <x v="6"/>
    <s v="NOTURNO"/>
    <s v="Matrícula"/>
    <d v="2025-11-25T00:00:00"/>
    <s v="Marcus Paulo Mateo Gonçalves"/>
    <n v="25052625"/>
    <s v="marcuspaulomtt@gmail.com"/>
    <n v="71991034019"/>
    <n v="71991034019"/>
    <m/>
    <m/>
    <m/>
    <m/>
    <m/>
    <m/>
  </r>
  <r>
    <s v="20261C"/>
    <n v="101623"/>
    <x v="0"/>
    <x v="6"/>
    <s v="NOTURNO"/>
    <s v="Matrícula"/>
    <d v="2025-11-26T00:00:00"/>
    <s v="Moisés de Jesus Souza Pereira"/>
    <n v="25052642"/>
    <s v="moisesluffu@gmail.com"/>
    <n v="71983306871"/>
    <n v="71983306871"/>
    <m/>
    <m/>
    <m/>
    <m/>
    <m/>
    <m/>
  </r>
  <r>
    <s v="20261C"/>
    <n v="101623"/>
    <x v="0"/>
    <x v="6"/>
    <s v="NOTURNO"/>
    <s v="Matrícula"/>
    <d v="2025-11-27T00:00:00"/>
    <s v="Gelma Santana de Sousa"/>
    <n v="25052865"/>
    <s v="gelsantbahia@gmail.com"/>
    <n v="71999051394"/>
    <n v="71999051394"/>
    <m/>
    <m/>
    <m/>
    <m/>
    <m/>
    <m/>
  </r>
  <r>
    <s v="20261C"/>
    <n v="101630"/>
    <x v="0"/>
    <x v="4"/>
    <s v="NOTURNO"/>
    <s v="Matrícula"/>
    <d v="2025-11-27T00:00:00"/>
    <s v="Francisco Kleber Azevedo Junior"/>
    <n v="81002748"/>
    <s v="francisco.azevedo23@gmail.com"/>
    <n v="71992732699"/>
    <n v="71992732699"/>
    <m/>
    <m/>
    <m/>
    <m/>
    <m/>
    <m/>
  </r>
  <r>
    <s v="20261C"/>
    <n v="101624"/>
    <x v="0"/>
    <x v="3"/>
    <s v="NOTURNO"/>
    <s v="Matrícula"/>
    <d v="2025-11-28T00:00:00"/>
    <s v="Diógenes dos Santos Ferreira"/>
    <n v="12256271"/>
    <s v="diogenes.f.13@hotmail.com"/>
    <n v="71985121939"/>
    <n v="71985121939"/>
    <m/>
    <m/>
    <m/>
    <m/>
    <m/>
    <m/>
  </r>
  <r>
    <s v="20261C"/>
    <n v="101630"/>
    <x v="0"/>
    <x v="4"/>
    <s v="NOTURNO"/>
    <s v="Matrícula"/>
    <d v="2025-11-28T00:00:00"/>
    <s v="Cristian Santana De Jesus"/>
    <n v="21833663"/>
    <s v="jesuscristian2404@gmail.com"/>
    <n v="71982905494"/>
    <n v="71982905494"/>
    <m/>
    <m/>
    <m/>
    <m/>
    <m/>
    <m/>
  </r>
  <r>
    <s v="20261C"/>
    <n v="101630"/>
    <x v="0"/>
    <x v="4"/>
    <s v="NOTURNO"/>
    <s v="Matrícula"/>
    <d v="2025-11-28T00:00:00"/>
    <s v="Luana Gomes da Cruz"/>
    <n v="162643777"/>
    <s v="luana_gcruz@hotmail.com"/>
    <n v="71991681103"/>
    <n v="71991681103"/>
    <m/>
    <m/>
    <m/>
    <m/>
    <m/>
    <m/>
  </r>
  <r>
    <s v="20261C"/>
    <n v="101624"/>
    <x v="0"/>
    <x v="3"/>
    <s v="NOTURNO"/>
    <s v="Matrícula"/>
    <d v="2025-11-28T00:00:00"/>
    <s v="William Rosado Silva"/>
    <n v="181700305"/>
    <s v="williamsilva113@gmail.com"/>
    <n v="71985158027"/>
    <n v="71985158027"/>
    <m/>
    <m/>
    <m/>
    <m/>
    <m/>
    <m/>
  </r>
  <r>
    <s v="20261C"/>
    <n v="101624"/>
    <x v="0"/>
    <x v="3"/>
    <s v="NOTURNO"/>
    <s v="Matrícula"/>
    <d v="2025-11-18T00:00:00"/>
    <s v="Adriana da Hora Conceição Santos"/>
    <n v="162562664"/>
    <s v="adrianadahora.adh97@gmail.com"/>
    <n v="71984673153"/>
    <n v="71984673153"/>
    <s v="Geovana"/>
    <m/>
    <m/>
    <m/>
    <m/>
    <m/>
  </r>
  <r>
    <s v="20261C"/>
    <n v="101624"/>
    <x v="0"/>
    <x v="3"/>
    <s v="NOTURNO"/>
    <s v="Matrícula"/>
    <d v="2025-11-24T00:00:00"/>
    <s v="Alberto Santos Ferreira de Moura Junior"/>
    <n v="25052310"/>
    <s v="junior1717al@gmail.com"/>
    <n v="71986158652"/>
    <n v="71986158652"/>
    <s v="Ariana "/>
    <m/>
    <m/>
    <m/>
    <m/>
    <m/>
  </r>
  <r>
    <s v="20261C"/>
    <n v="101624"/>
    <x v="0"/>
    <x v="3"/>
    <s v="NOTURNO"/>
    <s v="Matrícula"/>
    <d v="2025-11-18T00:00:00"/>
    <s v="Diogo Portugal"/>
    <n v="25051055"/>
    <s v="dportugal071@gmail.com"/>
    <n v="71996205743"/>
    <n v="71996205743"/>
    <s v="Geovana"/>
    <m/>
    <m/>
    <m/>
    <m/>
    <m/>
  </r>
  <r>
    <s v="20261C"/>
    <n v="101624"/>
    <x v="1"/>
    <x v="3"/>
    <s v="NOTURNO"/>
    <s v="Matrícula"/>
    <d v="2025-11-19T00:00:00"/>
    <s v="Elton de Santana Silva"/>
    <n v="13368585"/>
    <s v="ektondesantana@gmail.com"/>
    <n v="71992739330"/>
    <n v="71992739330"/>
    <s v="Ariana "/>
    <s v="Enviará o documento"/>
    <s v="Comprovante de escolaridade"/>
    <m/>
    <m/>
    <s v="Contato realizado, Elton irá enviar a documentação . 01/12 "/>
  </r>
  <r>
    <s v="20261C"/>
    <n v="101630"/>
    <x v="0"/>
    <x v="4"/>
    <s v="NOTURNO"/>
    <s v="Matrícula"/>
    <d v="2025-11-25T00:00:00"/>
    <s v="EMERSON SOUSA CARVALHO"/>
    <n v="13343216"/>
    <s v="emersonsousacarvalho@hotmail.com"/>
    <n v="71981834730"/>
    <n v="71981834730"/>
    <s v="Juliana "/>
    <m/>
    <m/>
    <m/>
    <m/>
    <m/>
  </r>
  <r>
    <s v="20261C"/>
    <n v="101630"/>
    <x v="0"/>
    <x v="4"/>
    <s v="NOTURNO"/>
    <s v="Matrícula"/>
    <d v="2025-11-24T00:00:00"/>
    <s v="Erica Guimarães dos Santos Souza"/>
    <n v="91162889"/>
    <s v="ericaguimaraes2008@hotmail.com"/>
    <n v="71988568900"/>
    <n v="71988568900"/>
    <s v="Juliana "/>
    <m/>
    <m/>
    <m/>
    <m/>
    <m/>
  </r>
  <r>
    <s v="20261C"/>
    <n v="101627"/>
    <x v="0"/>
    <x v="5"/>
    <s v="NOTURNO"/>
    <s v="Matrícula"/>
    <d v="2025-11-21T00:00:00"/>
    <s v="Gabriel Villas Boas Lima"/>
    <n v="25051936"/>
    <s v="gabriellima0707@gmail.com"/>
    <n v="71991105903"/>
    <n v="71991105903"/>
    <s v="Juliana "/>
    <m/>
    <m/>
    <m/>
    <m/>
    <m/>
  </r>
  <r>
    <s v="20261C"/>
    <n v="101627"/>
    <x v="0"/>
    <x v="5"/>
    <s v="NOTURNO"/>
    <s v="Matrícula"/>
    <d v="2025-11-19T00:00:00"/>
    <s v="Giovani José Rosendo dos Santos Júnior"/>
    <n v="21853465"/>
    <s v="giovannijunnior25@gmail.com"/>
    <n v="71993025744"/>
    <n v="71993025744"/>
    <s v="Juliana "/>
    <m/>
    <m/>
    <m/>
    <m/>
    <m/>
  </r>
  <r>
    <s v="20261C"/>
    <n v="101624"/>
    <x v="0"/>
    <x v="3"/>
    <s v="NOTURNO"/>
    <s v="Matrícula"/>
    <d v="2025-11-19T00:00:00"/>
    <s v="João Carlos Leite Menezes Filho"/>
    <n v="25051100"/>
    <s v="jclmf2303@gmail.com"/>
    <n v="71982814873"/>
    <n v="71982814873"/>
    <s v="Geovana"/>
    <m/>
    <m/>
    <m/>
    <m/>
    <m/>
  </r>
  <r>
    <s v="20261C"/>
    <n v="101629"/>
    <x v="0"/>
    <x v="7"/>
    <s v="NOTURNO"/>
    <s v="Matrícula"/>
    <d v="2025-11-26T00:00:00"/>
    <s v="João Paulo dos Santos Bastos"/>
    <n v="21891763"/>
    <s v="joao.bastos18@outlook.com"/>
    <n v="71984904708"/>
    <n v="71984904708"/>
    <s v="Ariana "/>
    <m/>
    <m/>
    <m/>
    <m/>
    <m/>
  </r>
  <r>
    <s v="20261C"/>
    <n v="101626"/>
    <x v="0"/>
    <x v="0"/>
    <s v="NOTURNO"/>
    <s v="Matrícula"/>
    <d v="2025-11-21T00:00:00"/>
    <s v="Layon Caires Carinhanha"/>
    <n v="25051865"/>
    <s v="oadmlayon@gmail.com"/>
    <n v="77999427065"/>
    <n v="77999427065"/>
    <s v="Geovana"/>
    <m/>
    <m/>
    <m/>
    <m/>
    <m/>
  </r>
  <r>
    <s v="20261C"/>
    <n v="101624"/>
    <x v="0"/>
    <x v="3"/>
    <s v="NOTURNO"/>
    <s v="Matrícula"/>
    <d v="2025-11-25T00:00:00"/>
    <s v="Leandro Correia dos Santos "/>
    <n v="21823924"/>
    <s v="leandro1982correia@gmail.com"/>
    <n v="71982313389"/>
    <n v="71982313389"/>
    <s v="Geovana"/>
    <m/>
    <m/>
    <m/>
    <m/>
    <m/>
  </r>
  <r>
    <s v="20261C"/>
    <n v="101631"/>
    <x v="1"/>
    <x v="1"/>
    <s v="NOTURNO"/>
    <s v="Matrícula"/>
    <d v="2025-11-27T00:00:00"/>
    <s v="Lucas de Jesus Lima"/>
    <n v="25052856"/>
    <s v="lusca1707@gmail.com"/>
    <n v="71999380201"/>
    <n v="71999380201"/>
    <s v="Ariana "/>
    <s v="Não atendeu"/>
    <s v="Comprovante de escolaridade"/>
    <m/>
    <m/>
    <s v="Contato sem sucesso, 01/12-ariana / Encaminhado e-mail 02/12 cobrando a documentação"/>
  </r>
  <r>
    <s v="20261C"/>
    <n v="101623"/>
    <x v="0"/>
    <x v="6"/>
    <s v="NOTURNO"/>
    <s v="Matrícula"/>
    <d v="2025-11-25T00:00:00"/>
    <s v="Lucas de Santana Fiss"/>
    <n v="25052485"/>
    <s v="lucasfiss2@gmail.com"/>
    <n v="71987397790"/>
    <n v="71987397790"/>
    <s v="Geovana"/>
    <m/>
    <m/>
    <m/>
    <m/>
    <m/>
  </r>
  <r>
    <s v="20261C"/>
    <n v="101627"/>
    <x v="0"/>
    <x v="5"/>
    <s v="NOTURNO"/>
    <s v="Matrícula"/>
    <d v="2025-11-20T00:00:00"/>
    <s v="Pablo Mendes Santos"/>
    <n v="25051621"/>
    <s v="pablomendes199@gmail.com"/>
    <n v="71991250117"/>
    <n v="71991250117"/>
    <s v="Ariana "/>
    <m/>
    <m/>
    <m/>
    <m/>
    <m/>
  </r>
  <r>
    <s v="20261C"/>
    <n v="101623"/>
    <x v="0"/>
    <x v="6"/>
    <s v="NOTURNO"/>
    <s v="Matrícula"/>
    <d v="2025-12-02T00:00:00"/>
    <s v="Miquéias Dhoníson dos Santos Santos"/>
    <n v="25052323"/>
    <s v="dhonison9@gmail.com"/>
    <s v="7199724-9598"/>
    <s v="7199724-9598"/>
    <s v="Geovana"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  <r>
    <m/>
    <m/>
    <x v="2"/>
    <x v="9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F27A3-EC3E-40B9-AE77-0ED9FCE2F7B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4" firstHeaderRow="1" firstDataRow="2" firstDataCol="1"/>
  <pivotFields count="18">
    <pivotField showAll="0"/>
    <pivotField showAll="0"/>
    <pivotField axis="axisCol" multipleItemSelectionAllowed="1" showAll="0">
      <items count="4">
        <item x="1"/>
        <item x="0"/>
        <item h="1" x="2"/>
        <item t="default"/>
      </items>
    </pivotField>
    <pivotField axis="axisRow" showAll="0">
      <items count="11">
        <item x="2"/>
        <item x="6"/>
        <item x="3"/>
        <item x="0"/>
        <item x="5"/>
        <item x="4"/>
        <item x="1"/>
        <item x="9"/>
        <item x="7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ntagem de Aluno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8" dT="2025-11-24T15:39:18.40" personId="{E22DB669-A3C8-4588-BDE5-27EA10240956}" id="{592797B4-0546-45E7-9032-B01E69B02032}">
    <text>Apresento atestado de conclusão ano 2025.</text>
  </threadedComment>
  <threadedComment ref="M31" dT="2025-11-24T18:40:39.64" personId="{E22DB669-A3C8-4588-BDE5-27EA10240956}" id="{6AED9352-CB2D-4887-BFF6-AD9783A56499}">
    <text>Apresento o atestado de conclusão ano 2025.</text>
  </threadedComment>
  <threadedComment ref="O124" dT="2025-12-18T18:08:02.41" personId="{E22DB669-A3C8-4588-BDE5-27EA10240956}" id="{CE31265D-BD4D-4970-91C9-77DF2834C80E}">
    <text>Cobrar o Histórico Escolar,  imagem distorcida.</text>
  </threadedComment>
  <threadedComment ref="M275" dT="2026-01-30T19:45:54.72" personId="{E22DB669-A3C8-4588-BDE5-27EA10240956}" id="{F47DE5C4-E638-4F90-964E-AAF8A7F3473F}">
    <text>Não tem vaga</text>
  </threadedComment>
  <threadedComment ref="M276" dT="2026-01-30T19:56:45.21" personId="{E22DB669-A3C8-4588-BDE5-27EA10240956}" id="{A84039E3-03C7-4DED-ADBC-CFB70B353EA8}">
    <text>Não tem vaga</text>
  </threadedComment>
  <threadedComment ref="M278" dT="2026-01-30T19:57:41.45" personId="{E22DB669-A3C8-4588-BDE5-27EA10240956}" id="{C0A8026F-F1A2-44F3-A84B-D1D777A301AC}">
    <text>Não tem vaga</text>
  </threadedComment>
  <threadedComment ref="M280" dT="2026-01-31T12:28:58.13" personId="{E22DB669-A3C8-4588-BDE5-27EA10240956}" id="{4E0668B3-E79E-4971-9E86-F2AAA4CBD5C1}">
    <text>Não tem vaga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" dT="2025-04-30T12:45:08.00" personId="{CD4A3A99-E8FD-4D2F-A187-896469D27035}" id="{B5378875-EB58-45FA-999B-14087935E47E}">
    <text>Somente o 1ª Módulo é o período letivo 20252C, os demais Módulos será: 2ª - 20261; 3ª -20262; 4ª - 20271</text>
  </threadedComment>
  <threadedComment ref="E6" dT="2025-05-06T11:58:04.22" personId="{CD4A3A99-E8FD-4D2F-A187-896469D27035}" id="{38F5A438-71A7-40CD-9CDC-E9C0FC85B6D1}">
    <text>Aguardando a Matriz ou plano do curso para realizar o cadastro no TOTVS. Enviaremos posteriormente</text>
  </threadedComment>
  <threadedComment ref="E23" dT="2025-05-06T11:58:04.22" personId="{CD4A3A99-E8FD-4D2F-A187-896469D27035}" id="{E7BA5649-57E7-43C9-8F6A-251455A6BA51}">
    <text>Aguardando a Matriz ou plano do curso para realizar o cadastro no TOTVS. Enviaremos posteriormente</text>
  </threadedComment>
  <threadedComment ref="E30" dT="2025-05-06T11:58:04.22" personId="{CD4A3A99-E8FD-4D2F-A187-896469D27035}" id="{0484141B-AB7F-40EC-B466-8A96B74E4E8A}">
    <text>Aguardando a Matriz ou plano do curso para realizar o cadastro no TOTVS. Enviaremos posteriormente</text>
  </threadedComment>
  <threadedComment ref="E41" dT="2025-05-06T11:58:04.22" personId="{CD4A3A99-E8FD-4D2F-A187-896469D27035}" id="{2A56A8F7-341F-43A5-A5DD-2F7535A4D4B8}">
    <text>Aguardando a Matriz ou plano do curso para realizar o cadastro no TOTVS. Enviaremos posteriormente</text>
  </threadedComment>
  <threadedComment ref="E48" dT="2025-05-06T11:58:04.22" personId="{CD4A3A99-E8FD-4D2F-A187-896469D27035}" id="{0A4E0AEF-B57D-47E0-A8F4-0E842D72BF2F}">
    <text>Aguardando a Matriz ou plano do curso para realizar o cadastro no TOTVS. Enviaremos posteriormente</text>
  </threadedComment>
  <threadedComment ref="E59" dT="2025-05-06T11:58:04.22" personId="{CD4A3A99-E8FD-4D2F-A187-896469D27035}" id="{F0388F83-820B-4635-9EF4-B290AA05BCCC}">
    <text>Aguardando a Matriz ou plano do curso para realizar o cadastro no TOTVS. Enviaremos posteriormente</text>
  </threadedComment>
  <threadedComment ref="E69" dT="2025-05-06T11:58:04.22" personId="{CD4A3A99-E8FD-4D2F-A187-896469D27035}" id="{CB4F595C-AD42-4C7C-AA7E-6DA5B5ED0839}">
    <text>Aguardando a Matriz ou plano do curso para realizar o cadastro no TOTVS. Enviaremos posteriormente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honison9@gmail.com" TargetMode="External"/><Relationship Id="rId117" Type="http://schemas.openxmlformats.org/officeDocument/2006/relationships/hyperlink" Target="mailto:nathaliacristine15@outlook.com" TargetMode="External"/><Relationship Id="rId21" Type="http://schemas.openxmlformats.org/officeDocument/2006/relationships/hyperlink" Target="mailto:alvesjesuss@hotmail.com" TargetMode="External"/><Relationship Id="rId42" Type="http://schemas.openxmlformats.org/officeDocument/2006/relationships/hyperlink" Target="mailto:Jopajesi10@gmail.com" TargetMode="External"/><Relationship Id="rId47" Type="http://schemas.openxmlformats.org/officeDocument/2006/relationships/hyperlink" Target="mailto:andreiayalana@gmail.com" TargetMode="External"/><Relationship Id="rId63" Type="http://schemas.openxmlformats.org/officeDocument/2006/relationships/hyperlink" Target="mailto:razoniarth00@gmail.com" TargetMode="External"/><Relationship Id="rId68" Type="http://schemas.openxmlformats.org/officeDocument/2006/relationships/hyperlink" Target="mailto:krolmunniz@hotmail.com" TargetMode="External"/><Relationship Id="rId84" Type="http://schemas.openxmlformats.org/officeDocument/2006/relationships/hyperlink" Target="mailto:pedro.gama2010@gmail.com" TargetMode="External"/><Relationship Id="rId89" Type="http://schemas.openxmlformats.org/officeDocument/2006/relationships/hyperlink" Target="mailto:ratok2@gmail.com" TargetMode="External"/><Relationship Id="rId112" Type="http://schemas.openxmlformats.org/officeDocument/2006/relationships/hyperlink" Target="mailto:dramarianaom25@gmail.com" TargetMode="External"/><Relationship Id="rId16" Type="http://schemas.openxmlformats.org/officeDocument/2006/relationships/hyperlink" Target="mailto:pinpin.claudio@gmail.com" TargetMode="External"/><Relationship Id="rId107" Type="http://schemas.openxmlformats.org/officeDocument/2006/relationships/hyperlink" Target="mailto:flaviosantos8401@gmail.com" TargetMode="External"/><Relationship Id="rId11" Type="http://schemas.openxmlformats.org/officeDocument/2006/relationships/hyperlink" Target="mailto:christianocarvalhonet@gmail.com" TargetMode="External"/><Relationship Id="rId32" Type="http://schemas.openxmlformats.org/officeDocument/2006/relationships/hyperlink" Target="mailto:riscoimpresso@gmail.com" TargetMode="External"/><Relationship Id="rId37" Type="http://schemas.openxmlformats.org/officeDocument/2006/relationships/hyperlink" Target="mailto:luc4smrmx@gmail.com" TargetMode="External"/><Relationship Id="rId53" Type="http://schemas.openxmlformats.org/officeDocument/2006/relationships/hyperlink" Target="mailto:alissonandre020@gmail.com" TargetMode="External"/><Relationship Id="rId58" Type="http://schemas.openxmlformats.org/officeDocument/2006/relationships/hyperlink" Target="mailto:Krolinny15@gmail.com" TargetMode="External"/><Relationship Id="rId74" Type="http://schemas.openxmlformats.org/officeDocument/2006/relationships/hyperlink" Target="mailto:diegojw10@gmail.com" TargetMode="External"/><Relationship Id="rId79" Type="http://schemas.openxmlformats.org/officeDocument/2006/relationships/hyperlink" Target="mailto:rsb07630@gmail.com" TargetMode="External"/><Relationship Id="rId102" Type="http://schemas.openxmlformats.org/officeDocument/2006/relationships/hyperlink" Target="mailto:alvaromaia25@gmail.com" TargetMode="External"/><Relationship Id="rId123" Type="http://schemas.openxmlformats.org/officeDocument/2006/relationships/comments" Target="../comments1.xml"/><Relationship Id="rId5" Type="http://schemas.openxmlformats.org/officeDocument/2006/relationships/hyperlink" Target="mailto:deivissonmachado504@gmail.com" TargetMode="External"/><Relationship Id="rId90" Type="http://schemas.openxmlformats.org/officeDocument/2006/relationships/hyperlink" Target="mailto:rurubrsilva20200@gmail.com" TargetMode="External"/><Relationship Id="rId95" Type="http://schemas.openxmlformats.org/officeDocument/2006/relationships/hyperlink" Target="mailto:mathieusmendes@gmail.com" TargetMode="External"/><Relationship Id="rId22" Type="http://schemas.openxmlformats.org/officeDocument/2006/relationships/hyperlink" Target="mailto:feliperosariosouza87@gmail.com" TargetMode="External"/><Relationship Id="rId27" Type="http://schemas.openxmlformats.org/officeDocument/2006/relationships/hyperlink" Target="mailto:ektondesantana@gmail.com" TargetMode="External"/><Relationship Id="rId43" Type="http://schemas.openxmlformats.org/officeDocument/2006/relationships/hyperlink" Target="mailto:wellc_@Hotmail.com" TargetMode="External"/><Relationship Id="rId48" Type="http://schemas.openxmlformats.org/officeDocument/2006/relationships/hyperlink" Target="mailto:muriloaquinotrab@gmail.com" TargetMode="External"/><Relationship Id="rId64" Type="http://schemas.openxmlformats.org/officeDocument/2006/relationships/hyperlink" Target="mailto:maraevelim2018@gmail.com" TargetMode="External"/><Relationship Id="rId69" Type="http://schemas.openxmlformats.org/officeDocument/2006/relationships/hyperlink" Target="mailto:felipeassisbl@gmail.com" TargetMode="External"/><Relationship Id="rId113" Type="http://schemas.openxmlformats.org/officeDocument/2006/relationships/hyperlink" Target="mailto:tonycggjunior@gmail.com" TargetMode="External"/><Relationship Id="rId118" Type="http://schemas.openxmlformats.org/officeDocument/2006/relationships/hyperlink" Target="mailto:cauanac16@gmail.com" TargetMode="External"/><Relationship Id="rId80" Type="http://schemas.openxmlformats.org/officeDocument/2006/relationships/hyperlink" Target="mailto:raissajesus2020@gmail.com" TargetMode="External"/><Relationship Id="rId85" Type="http://schemas.openxmlformats.org/officeDocument/2006/relationships/hyperlink" Target="mailto:Jeanajeanasantos@gmail.com" TargetMode="External"/><Relationship Id="rId12" Type="http://schemas.openxmlformats.org/officeDocument/2006/relationships/hyperlink" Target="mailto:couramaria603@gmail.com" TargetMode="External"/><Relationship Id="rId17" Type="http://schemas.openxmlformats.org/officeDocument/2006/relationships/hyperlink" Target="mailto:astania46@gmail.com" TargetMode="External"/><Relationship Id="rId33" Type="http://schemas.openxmlformats.org/officeDocument/2006/relationships/hyperlink" Target="mailto:riansilva270704@gmail.com" TargetMode="External"/><Relationship Id="rId38" Type="http://schemas.openxmlformats.org/officeDocument/2006/relationships/hyperlink" Target="mailto:sopranovendas@gmail.com" TargetMode="External"/><Relationship Id="rId59" Type="http://schemas.openxmlformats.org/officeDocument/2006/relationships/hyperlink" Target="mailto:jamiltonmjr@gmail.com" TargetMode="External"/><Relationship Id="rId103" Type="http://schemas.openxmlformats.org/officeDocument/2006/relationships/hyperlink" Target="mailto:isaacoliveiraf2@gmail.com" TargetMode="External"/><Relationship Id="rId108" Type="http://schemas.openxmlformats.org/officeDocument/2006/relationships/hyperlink" Target="mailto:sjoaomanuel08@gmail.com" TargetMode="External"/><Relationship Id="rId124" Type="http://schemas.microsoft.com/office/2017/10/relationships/threadedComment" Target="../threadedComments/threadedComment1.xml"/><Relationship Id="rId54" Type="http://schemas.openxmlformats.org/officeDocument/2006/relationships/hyperlink" Target="mailto:alexandrinop358@gmail.com" TargetMode="External"/><Relationship Id="rId70" Type="http://schemas.openxmlformats.org/officeDocument/2006/relationships/hyperlink" Target="mailto:deividemotta5@gmail.com" TargetMode="External"/><Relationship Id="rId75" Type="http://schemas.openxmlformats.org/officeDocument/2006/relationships/hyperlink" Target="mailto:santoshanani20@gmail.com" TargetMode="External"/><Relationship Id="rId91" Type="http://schemas.openxmlformats.org/officeDocument/2006/relationships/hyperlink" Target="mailto:luisgustavo9929@gmail.com" TargetMode="External"/><Relationship Id="rId96" Type="http://schemas.openxmlformats.org/officeDocument/2006/relationships/hyperlink" Target="mailto:jeniffersousa272208@gmail.com" TargetMode="External"/><Relationship Id="rId1" Type="http://schemas.openxmlformats.org/officeDocument/2006/relationships/hyperlink" Target="mailto:lgalantecastrodeoliveira@gmail.com" TargetMode="External"/><Relationship Id="rId6" Type="http://schemas.openxmlformats.org/officeDocument/2006/relationships/hyperlink" Target="mailto:jrsampaio3@gmail.com" TargetMode="External"/><Relationship Id="rId23" Type="http://schemas.openxmlformats.org/officeDocument/2006/relationships/hyperlink" Target="mailto:lysiereis@gmail.com" TargetMode="External"/><Relationship Id="rId28" Type="http://schemas.openxmlformats.org/officeDocument/2006/relationships/hyperlink" Target="mailto:lusca1707@gmail.com" TargetMode="External"/><Relationship Id="rId49" Type="http://schemas.openxmlformats.org/officeDocument/2006/relationships/hyperlink" Target="mailto:isnaia.correia18@gmail.com" TargetMode="External"/><Relationship Id="rId114" Type="http://schemas.openxmlformats.org/officeDocument/2006/relationships/hyperlink" Target="mailto:simonefernandes4378@gmail.com" TargetMode="External"/><Relationship Id="rId119" Type="http://schemas.openxmlformats.org/officeDocument/2006/relationships/hyperlink" Target="mailto:lucasmedeirossantos26@gmail.com" TargetMode="External"/><Relationship Id="rId44" Type="http://schemas.openxmlformats.org/officeDocument/2006/relationships/hyperlink" Target="mailto:PedroOliveira10k@gmail.com" TargetMode="External"/><Relationship Id="rId60" Type="http://schemas.openxmlformats.org/officeDocument/2006/relationships/hyperlink" Target="mailto:felipemirandasilva01@gmail.com" TargetMode="External"/><Relationship Id="rId65" Type="http://schemas.openxmlformats.org/officeDocument/2006/relationships/hyperlink" Target="mailto:ismaeloliveiramart@gmail.com" TargetMode="External"/><Relationship Id="rId81" Type="http://schemas.openxmlformats.org/officeDocument/2006/relationships/hyperlink" Target="mailto:nascimentojordan08@gmail.com" TargetMode="External"/><Relationship Id="rId86" Type="http://schemas.openxmlformats.org/officeDocument/2006/relationships/hyperlink" Target="mailto:neimabds391@gmail.com" TargetMode="External"/><Relationship Id="rId4" Type="http://schemas.openxmlformats.org/officeDocument/2006/relationships/hyperlink" Target="mailto:daniel357matos@gmail.com" TargetMode="External"/><Relationship Id="rId9" Type="http://schemas.openxmlformats.org/officeDocument/2006/relationships/hyperlink" Target="mailto:pires0905@gmail.com" TargetMode="External"/><Relationship Id="rId13" Type="http://schemas.openxmlformats.org/officeDocument/2006/relationships/hyperlink" Target="mailto:costatech.solucoes@gmail.com" TargetMode="External"/><Relationship Id="rId18" Type="http://schemas.openxmlformats.org/officeDocument/2006/relationships/hyperlink" Target="mailto:maiasantosxd133@gmail.com" TargetMode="External"/><Relationship Id="rId39" Type="http://schemas.openxmlformats.org/officeDocument/2006/relationships/hyperlink" Target="mailto:arletesilva7073@gmail.com" TargetMode="External"/><Relationship Id="rId109" Type="http://schemas.openxmlformats.org/officeDocument/2006/relationships/hyperlink" Target="mailto:jltbenicio@hotmail.com" TargetMode="External"/><Relationship Id="rId34" Type="http://schemas.openxmlformats.org/officeDocument/2006/relationships/hyperlink" Target="mailto:Alissonrochaecv@gmail.com" TargetMode="External"/><Relationship Id="rId50" Type="http://schemas.openxmlformats.org/officeDocument/2006/relationships/hyperlink" Target="mailto:jeanmarcelo162@gmail.com" TargetMode="External"/><Relationship Id="rId55" Type="http://schemas.openxmlformats.org/officeDocument/2006/relationships/hyperlink" Target="mailto:pedrohfilho251@gmail.com" TargetMode="External"/><Relationship Id="rId76" Type="http://schemas.openxmlformats.org/officeDocument/2006/relationships/hyperlink" Target="mailto:ailtonnunes933@gmail.com" TargetMode="External"/><Relationship Id="rId97" Type="http://schemas.openxmlformats.org/officeDocument/2006/relationships/hyperlink" Target="mailto:carlosjdejesus96@gmail.com" TargetMode="External"/><Relationship Id="rId104" Type="http://schemas.openxmlformats.org/officeDocument/2006/relationships/hyperlink" Target="mailto:gabrielcortes641@gmail.com" TargetMode="External"/><Relationship Id="rId120" Type="http://schemas.openxmlformats.org/officeDocument/2006/relationships/hyperlink" Target="mailto:miniboy.gustavo@gmail.com" TargetMode="External"/><Relationship Id="rId7" Type="http://schemas.openxmlformats.org/officeDocument/2006/relationships/hyperlink" Target="mailto:marcosfellipe387604@gmail.com" TargetMode="External"/><Relationship Id="rId71" Type="http://schemas.openxmlformats.org/officeDocument/2006/relationships/hyperlink" Target="mailto:rogerluan060@gmail.com" TargetMode="External"/><Relationship Id="rId92" Type="http://schemas.openxmlformats.org/officeDocument/2006/relationships/hyperlink" Target="mailto:riccobomfim7@gmail.com" TargetMode="External"/><Relationship Id="rId2" Type="http://schemas.openxmlformats.org/officeDocument/2006/relationships/hyperlink" Target="mailto:kauedsbarreto@gmail.com" TargetMode="External"/><Relationship Id="rId29" Type="http://schemas.openxmlformats.org/officeDocument/2006/relationships/hyperlink" Target="mailto:Gilqueiroz70@gmail.com" TargetMode="External"/><Relationship Id="rId24" Type="http://schemas.openxmlformats.org/officeDocument/2006/relationships/hyperlink" Target="mailto:jadson-2000@hotmail.com" TargetMode="External"/><Relationship Id="rId40" Type="http://schemas.openxmlformats.org/officeDocument/2006/relationships/hyperlink" Target="mailto:amorimlaura953@gmail.com" TargetMode="External"/><Relationship Id="rId45" Type="http://schemas.openxmlformats.org/officeDocument/2006/relationships/hyperlink" Target="mailto:mariaalves5713@gmail.com" TargetMode="External"/><Relationship Id="rId66" Type="http://schemas.openxmlformats.org/officeDocument/2006/relationships/hyperlink" Target="mailto:laura-beatriz96@hotmail.com" TargetMode="External"/><Relationship Id="rId87" Type="http://schemas.openxmlformats.org/officeDocument/2006/relationships/hyperlink" Target="mailto:bubertalo@gmail.com" TargetMode="External"/><Relationship Id="rId110" Type="http://schemas.openxmlformats.org/officeDocument/2006/relationships/hyperlink" Target="mailto:daniel.costa.diana@gmail.com" TargetMode="External"/><Relationship Id="rId115" Type="http://schemas.openxmlformats.org/officeDocument/2006/relationships/hyperlink" Target="mailto:shamaralvesdejesusaraujo@gmail.com" TargetMode="External"/><Relationship Id="rId61" Type="http://schemas.openxmlformats.org/officeDocument/2006/relationships/hyperlink" Target="mailto:lanealmeida_bomfim@hotmail.com" TargetMode="External"/><Relationship Id="rId82" Type="http://schemas.openxmlformats.org/officeDocument/2006/relationships/hyperlink" Target="mailto:jorgearaujo20@gmail.com" TargetMode="External"/><Relationship Id="rId19" Type="http://schemas.openxmlformats.org/officeDocument/2006/relationships/hyperlink" Target="mailto:charlesdorosariomaia@gmail.com" TargetMode="External"/><Relationship Id="rId14" Type="http://schemas.openxmlformats.org/officeDocument/2006/relationships/hyperlink" Target="mailto:Aless.barbosa@gmail.com%20(Pai%20de%20Ariel)" TargetMode="External"/><Relationship Id="rId30" Type="http://schemas.openxmlformats.org/officeDocument/2006/relationships/hyperlink" Target="mailto:silvaalefbrenosilva@gmail.com" TargetMode="External"/><Relationship Id="rId35" Type="http://schemas.openxmlformats.org/officeDocument/2006/relationships/hyperlink" Target="mailto:bruno_eletor88@hotmail.com" TargetMode="External"/><Relationship Id="rId56" Type="http://schemas.openxmlformats.org/officeDocument/2006/relationships/hyperlink" Target="mailto:dr11327@gmail.com" TargetMode="External"/><Relationship Id="rId77" Type="http://schemas.openxmlformats.org/officeDocument/2006/relationships/hyperlink" Target="mailto:ddarlan@outlook.com.br" TargetMode="External"/><Relationship Id="rId100" Type="http://schemas.openxmlformats.org/officeDocument/2006/relationships/hyperlink" Target="mailto:lucivalchaves@hotmail.com" TargetMode="External"/><Relationship Id="rId105" Type="http://schemas.openxmlformats.org/officeDocument/2006/relationships/hyperlink" Target="mailto:tiago71722@gmail.com" TargetMode="External"/><Relationship Id="rId8" Type="http://schemas.openxmlformats.org/officeDocument/2006/relationships/hyperlink" Target="mailto:arelsantos.0@gmail.com" TargetMode="External"/><Relationship Id="rId51" Type="http://schemas.openxmlformats.org/officeDocument/2006/relationships/hyperlink" Target="mailto:paulovitor2061@gmail.com" TargetMode="External"/><Relationship Id="rId72" Type="http://schemas.openxmlformats.org/officeDocument/2006/relationships/hyperlink" Target="mailto:joaomalmeida5988@gmail.com" TargetMode="External"/><Relationship Id="rId93" Type="http://schemas.openxmlformats.org/officeDocument/2006/relationships/hyperlink" Target="mailto:kauakevendeoliveirasantos@gmail.com" TargetMode="External"/><Relationship Id="rId98" Type="http://schemas.openxmlformats.org/officeDocument/2006/relationships/hyperlink" Target="mailto:brancoinformatica@yahoo.com.br" TargetMode="External"/><Relationship Id="rId121" Type="http://schemas.openxmlformats.org/officeDocument/2006/relationships/printerSettings" Target="../printerSettings/printerSettings1.bin"/><Relationship Id="rId3" Type="http://schemas.openxmlformats.org/officeDocument/2006/relationships/hyperlink" Target="mailto:edvan.antao29@gmail.com" TargetMode="External"/><Relationship Id="rId25" Type="http://schemas.openxmlformats.org/officeDocument/2006/relationships/hyperlink" Target="mailto:Barbosa.gustavo2008@gmail.com" TargetMode="External"/><Relationship Id="rId46" Type="http://schemas.openxmlformats.org/officeDocument/2006/relationships/hyperlink" Target="mailto:annajulia2007ba@gmail.com" TargetMode="External"/><Relationship Id="rId67" Type="http://schemas.openxmlformats.org/officeDocument/2006/relationships/hyperlink" Target="mailto:santosvinicius640hotmail@gmail.com" TargetMode="External"/><Relationship Id="rId116" Type="http://schemas.openxmlformats.org/officeDocument/2006/relationships/hyperlink" Target="mailto:wadinho.s@gmail.com" TargetMode="External"/><Relationship Id="rId20" Type="http://schemas.openxmlformats.org/officeDocument/2006/relationships/hyperlink" Target="mailto:ts4133010@gmail.com" TargetMode="External"/><Relationship Id="rId41" Type="http://schemas.openxmlformats.org/officeDocument/2006/relationships/hyperlink" Target="mailto:rafaelshow071@gmail.com" TargetMode="External"/><Relationship Id="rId62" Type="http://schemas.openxmlformats.org/officeDocument/2006/relationships/hyperlink" Target="mailto:mrrs20@hotmail.com" TargetMode="External"/><Relationship Id="rId83" Type="http://schemas.openxmlformats.org/officeDocument/2006/relationships/hyperlink" Target="mailto:jpmv1204@gmail.com" TargetMode="External"/><Relationship Id="rId88" Type="http://schemas.openxmlformats.org/officeDocument/2006/relationships/hyperlink" Target="mailto:fideliosswin@gmail.com" TargetMode="External"/><Relationship Id="rId111" Type="http://schemas.openxmlformats.org/officeDocument/2006/relationships/hyperlink" Target="mailto:senaadv81@gmail.com" TargetMode="External"/><Relationship Id="rId15" Type="http://schemas.openxmlformats.org/officeDocument/2006/relationships/hyperlink" Target="mailto:andradegui730@gmail.com" TargetMode="External"/><Relationship Id="rId36" Type="http://schemas.openxmlformats.org/officeDocument/2006/relationships/hyperlink" Target="mailto:altamiro_ribeiro15@hotmail.com" TargetMode="External"/><Relationship Id="rId57" Type="http://schemas.openxmlformats.org/officeDocument/2006/relationships/hyperlink" Target="mailto:juliojuliao1988@gmail.com" TargetMode="External"/><Relationship Id="rId106" Type="http://schemas.openxmlformats.org/officeDocument/2006/relationships/hyperlink" Target="mailto:matheus.lego@gmail.com" TargetMode="External"/><Relationship Id="rId10" Type="http://schemas.openxmlformats.org/officeDocument/2006/relationships/hyperlink" Target="mailto:felipe.elma@gmail.com" TargetMode="External"/><Relationship Id="rId31" Type="http://schemas.openxmlformats.org/officeDocument/2006/relationships/hyperlink" Target="mailto:bruno-pires747@hotmail.com" TargetMode="External"/><Relationship Id="rId52" Type="http://schemas.openxmlformats.org/officeDocument/2006/relationships/hyperlink" Target="mailto:ph024393@gmail.com" TargetMode="External"/><Relationship Id="rId73" Type="http://schemas.openxmlformats.org/officeDocument/2006/relationships/hyperlink" Target="mailto:rafael.anunciacao270706@gmail.com" TargetMode="External"/><Relationship Id="rId78" Type="http://schemas.openxmlformats.org/officeDocument/2006/relationships/hyperlink" Target="mailto:leticiabraga10004@gmail.com" TargetMode="External"/><Relationship Id="rId94" Type="http://schemas.openxmlformats.org/officeDocument/2006/relationships/hyperlink" Target="mailto:marcossena3421@gmail.com" TargetMode="External"/><Relationship Id="rId99" Type="http://schemas.openxmlformats.org/officeDocument/2006/relationships/hyperlink" Target="mailto:meiragilmar3@gmail.com" TargetMode="External"/><Relationship Id="rId101" Type="http://schemas.openxmlformats.org/officeDocument/2006/relationships/hyperlink" Target="mailto:lucaspalmeiranunes@gmail.com" TargetMode="External"/><Relationship Id="rId12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williamasensio20@gmail.com" TargetMode="External"/><Relationship Id="rId18" Type="http://schemas.openxmlformats.org/officeDocument/2006/relationships/hyperlink" Target="mailto:anamachadodossantos05@gmail.com" TargetMode="External"/><Relationship Id="rId26" Type="http://schemas.openxmlformats.org/officeDocument/2006/relationships/hyperlink" Target="mailto:ronecarlito@gmail.com" TargetMode="External"/><Relationship Id="rId39" Type="http://schemas.openxmlformats.org/officeDocument/2006/relationships/hyperlink" Target="mailto:eliqueice555@gmail.com" TargetMode="External"/><Relationship Id="rId21" Type="http://schemas.openxmlformats.org/officeDocument/2006/relationships/hyperlink" Target="mailto:carinabispo17@outlook.com" TargetMode="External"/><Relationship Id="rId34" Type="http://schemas.openxmlformats.org/officeDocument/2006/relationships/hyperlink" Target="mailto:anagab0017@gmail.com" TargetMode="External"/><Relationship Id="rId42" Type="http://schemas.openxmlformats.org/officeDocument/2006/relationships/hyperlink" Target="mailto:anajulialisboaa@gmail.com" TargetMode="External"/><Relationship Id="rId7" Type="http://schemas.openxmlformats.org/officeDocument/2006/relationships/hyperlink" Target="mailto:andreyacjesus@gmail.com" TargetMode="External"/><Relationship Id="rId2" Type="http://schemas.openxmlformats.org/officeDocument/2006/relationships/hyperlink" Target="mailto:contatoneemiasbarbosa@gmail.com" TargetMode="External"/><Relationship Id="rId16" Type="http://schemas.openxmlformats.org/officeDocument/2006/relationships/hyperlink" Target="mailto:paulovitorcruzsantos833@gmail.com" TargetMode="External"/><Relationship Id="rId20" Type="http://schemas.openxmlformats.org/officeDocument/2006/relationships/hyperlink" Target="mailto:felipeflorsz032@gmail.com" TargetMode="External"/><Relationship Id="rId29" Type="http://schemas.openxmlformats.org/officeDocument/2006/relationships/hyperlink" Target="mailto:walaces.s.f.12@gmail.com" TargetMode="External"/><Relationship Id="rId41" Type="http://schemas.openxmlformats.org/officeDocument/2006/relationships/hyperlink" Target="mailto:mariaclaudiaalvesdasilva1@gmail.com" TargetMode="External"/><Relationship Id="rId1" Type="http://schemas.openxmlformats.org/officeDocument/2006/relationships/hyperlink" Target="mailto:pedrowsoa@gmail.com" TargetMode="External"/><Relationship Id="rId6" Type="http://schemas.openxmlformats.org/officeDocument/2006/relationships/hyperlink" Target="mailto:joao123a165@hotmail.com" TargetMode="External"/><Relationship Id="rId11" Type="http://schemas.openxmlformats.org/officeDocument/2006/relationships/hyperlink" Target="mailto:jean.nascimento1000@gmail.com" TargetMode="External"/><Relationship Id="rId24" Type="http://schemas.openxmlformats.org/officeDocument/2006/relationships/hyperlink" Target="mailto:gabriel13santosteixeira@gmail.com" TargetMode="External"/><Relationship Id="rId32" Type="http://schemas.openxmlformats.org/officeDocument/2006/relationships/hyperlink" Target="mailto:nancassia@gmail.com" TargetMode="External"/><Relationship Id="rId37" Type="http://schemas.openxmlformats.org/officeDocument/2006/relationships/hyperlink" Target="mailto:ylima9383@gmail.com" TargetMode="External"/><Relationship Id="rId40" Type="http://schemas.openxmlformats.org/officeDocument/2006/relationships/hyperlink" Target="mailto:jailzajai10@gmail.com" TargetMode="External"/><Relationship Id="rId5" Type="http://schemas.openxmlformats.org/officeDocument/2006/relationships/hyperlink" Target="mailto:pedrowsoa@gmail.com" TargetMode="External"/><Relationship Id="rId15" Type="http://schemas.openxmlformats.org/officeDocument/2006/relationships/hyperlink" Target="mailto:moniqueloene@gmail.com" TargetMode="External"/><Relationship Id="rId23" Type="http://schemas.openxmlformats.org/officeDocument/2006/relationships/hyperlink" Target="mailto:nadsonferreira81@gmail.com" TargetMode="External"/><Relationship Id="rId28" Type="http://schemas.openxmlformats.org/officeDocument/2006/relationships/hyperlink" Target="mailto:lulupereiracajuhy@gmail.com" TargetMode="External"/><Relationship Id="rId36" Type="http://schemas.openxmlformats.org/officeDocument/2006/relationships/hyperlink" Target="mailto:virgensf46@gmail.com" TargetMode="External"/><Relationship Id="rId10" Type="http://schemas.openxmlformats.org/officeDocument/2006/relationships/hyperlink" Target="mailto:e.7de2002salvador@gmail.com" TargetMode="External"/><Relationship Id="rId19" Type="http://schemas.openxmlformats.org/officeDocument/2006/relationships/hyperlink" Target="mailto:hhloliveira@outlook.com" TargetMode="External"/><Relationship Id="rId31" Type="http://schemas.openxmlformats.org/officeDocument/2006/relationships/hyperlink" Target="mailto:alexsandergabrielmarins31@gmail.com" TargetMode="External"/><Relationship Id="rId4" Type="http://schemas.openxmlformats.org/officeDocument/2006/relationships/hyperlink" Target="mailto:senai.gabriel.cimatec@gmail.com" TargetMode="External"/><Relationship Id="rId9" Type="http://schemas.openxmlformats.org/officeDocument/2006/relationships/hyperlink" Target="mailto:alorrane134@gmail.com" TargetMode="External"/><Relationship Id="rId14" Type="http://schemas.openxmlformats.org/officeDocument/2006/relationships/hyperlink" Target="mailto:lavinia.rosa1999@gmail.com" TargetMode="External"/><Relationship Id="rId22" Type="http://schemas.openxmlformats.org/officeDocument/2006/relationships/hyperlink" Target="mailto:leoliveirafre@gmail.com" TargetMode="External"/><Relationship Id="rId27" Type="http://schemas.openxmlformats.org/officeDocument/2006/relationships/hyperlink" Target="mailto:e.7de2002salvador@gmail.com" TargetMode="External"/><Relationship Id="rId30" Type="http://schemas.openxmlformats.org/officeDocument/2006/relationships/hyperlink" Target="mailto:contatojoao6502@gmail.com" TargetMode="External"/><Relationship Id="rId35" Type="http://schemas.openxmlformats.org/officeDocument/2006/relationships/hyperlink" Target="mailto:barbosaanagabrielle93@gmail.com" TargetMode="External"/><Relationship Id="rId8" Type="http://schemas.openxmlformats.org/officeDocument/2006/relationships/hyperlink" Target="mailto:eliseucosme18@gmail.com" TargetMode="External"/><Relationship Id="rId3" Type="http://schemas.openxmlformats.org/officeDocument/2006/relationships/hyperlink" Target="mailto:gleysongermano@gmail.com" TargetMode="External"/><Relationship Id="rId12" Type="http://schemas.openxmlformats.org/officeDocument/2006/relationships/hyperlink" Target="mailto:matossaulo124@gmail.com" TargetMode="External"/><Relationship Id="rId17" Type="http://schemas.openxmlformats.org/officeDocument/2006/relationships/hyperlink" Target="mailto:adricarose@gmail.com" TargetMode="External"/><Relationship Id="rId25" Type="http://schemas.openxmlformats.org/officeDocument/2006/relationships/hyperlink" Target="mailto:enzoindira@gmail.com" TargetMode="External"/><Relationship Id="rId33" Type="http://schemas.openxmlformats.org/officeDocument/2006/relationships/hyperlink" Target="mailto:luaateless@gmail.com" TargetMode="External"/><Relationship Id="rId38" Type="http://schemas.openxmlformats.org/officeDocument/2006/relationships/hyperlink" Target="mailto:nathcamillealmeida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RICARDOSANTOSS1322@GMAIL.COM" TargetMode="External"/><Relationship Id="rId3" Type="http://schemas.openxmlformats.org/officeDocument/2006/relationships/hyperlink" Target="mailto:EMILYMERCES@GMAIL.COM" TargetMode="External"/><Relationship Id="rId7" Type="http://schemas.openxmlformats.org/officeDocument/2006/relationships/hyperlink" Target="mailto:kauasouza7066@gmail.com" TargetMode="External"/><Relationship Id="rId2" Type="http://schemas.openxmlformats.org/officeDocument/2006/relationships/hyperlink" Target="mailto:MELOJOYCE139@GMAIL.COM" TargetMode="External"/><Relationship Id="rId1" Type="http://schemas.openxmlformats.org/officeDocument/2006/relationships/hyperlink" Target="mailto:ruantm0@gmail.com" TargetMode="External"/><Relationship Id="rId6" Type="http://schemas.openxmlformats.org/officeDocument/2006/relationships/hyperlink" Target="mailto:gabrielsn5988@gmail.com" TargetMode="External"/><Relationship Id="rId5" Type="http://schemas.openxmlformats.org/officeDocument/2006/relationships/hyperlink" Target="mailto:ASIMPLICIO010@GMAIL.COM" TargetMode="External"/><Relationship Id="rId10" Type="http://schemas.openxmlformats.org/officeDocument/2006/relationships/hyperlink" Target="mailto:carolinemiranda2006@gmail.com" TargetMode="External"/><Relationship Id="rId4" Type="http://schemas.openxmlformats.org/officeDocument/2006/relationships/hyperlink" Target="mailto:YANJOS525@GMAIL.COM" TargetMode="External"/><Relationship Id="rId9" Type="http://schemas.openxmlformats.org/officeDocument/2006/relationships/hyperlink" Target="mailto:YASYASMIN433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CAC8-214D-40D0-9228-C9EE6BF6E2D7}">
  <sheetPr filterMode="1"/>
  <dimension ref="A1:BK552"/>
  <sheetViews>
    <sheetView tabSelected="1" workbookViewId="0">
      <pane ySplit="1" topLeftCell="A5" activePane="bottomLeft" state="frozen"/>
      <selection pane="bottomLeft" activeCell="B5" sqref="B5"/>
    </sheetView>
  </sheetViews>
  <sheetFormatPr defaultColWidth="12" defaultRowHeight="21" customHeight="1" x14ac:dyDescent="0.25"/>
  <cols>
    <col min="1" max="2" width="12" style="546"/>
    <col min="3" max="3" width="12" style="547"/>
    <col min="4" max="4" width="17.7109375" style="547" customWidth="1"/>
    <col min="5" max="7" width="12" style="546"/>
    <col min="8" max="8" width="41.42578125" style="546" customWidth="1"/>
    <col min="9" max="9" width="12" style="546" bestFit="1" customWidth="1"/>
    <col min="10" max="10" width="43.5703125" style="546" customWidth="1"/>
    <col min="11" max="11" width="14" style="546" customWidth="1"/>
    <col min="12" max="12" width="15.140625" style="546" customWidth="1"/>
    <col min="13" max="13" width="12" style="546"/>
    <col min="14" max="14" width="13.7109375" style="546" customWidth="1"/>
    <col min="15" max="15" width="21.42578125" style="547" customWidth="1"/>
    <col min="16" max="16" width="12" style="546"/>
    <col min="17" max="17" width="12" style="552"/>
    <col min="18" max="18" width="48.85546875" style="553" customWidth="1"/>
    <col min="19" max="62" width="12" style="554"/>
    <col min="63" max="63" width="12" style="555"/>
    <col min="64" max="16384" width="12" style="546"/>
  </cols>
  <sheetData>
    <row r="1" spans="1:63" s="545" customFormat="1" ht="48.6" customHeight="1" x14ac:dyDescent="0.25">
      <c r="A1" s="538" t="s">
        <v>0</v>
      </c>
      <c r="B1" s="539" t="s">
        <v>1</v>
      </c>
      <c r="C1" s="538" t="s">
        <v>2</v>
      </c>
      <c r="D1" s="538" t="s">
        <v>3</v>
      </c>
      <c r="E1" s="539" t="s">
        <v>4</v>
      </c>
      <c r="F1" s="538" t="s">
        <v>5</v>
      </c>
      <c r="G1" s="538" t="s">
        <v>6</v>
      </c>
      <c r="H1" s="539" t="s">
        <v>7</v>
      </c>
      <c r="I1" s="539" t="s">
        <v>8</v>
      </c>
      <c r="J1" s="540" t="s">
        <v>9</v>
      </c>
      <c r="K1" s="538" t="s">
        <v>10</v>
      </c>
      <c r="L1" s="538" t="s">
        <v>11</v>
      </c>
      <c r="M1" s="539" t="s">
        <v>12</v>
      </c>
      <c r="N1" s="538" t="s">
        <v>13</v>
      </c>
      <c r="O1" s="538" t="s">
        <v>14</v>
      </c>
      <c r="P1" s="538" t="s">
        <v>15</v>
      </c>
      <c r="Q1" s="541" t="s">
        <v>16</v>
      </c>
      <c r="R1" s="542" t="s">
        <v>17</v>
      </c>
      <c r="S1" s="543" t="s">
        <v>18</v>
      </c>
      <c r="T1" s="543"/>
      <c r="U1" s="543"/>
      <c r="V1" s="543"/>
      <c r="W1" s="543"/>
      <c r="X1" s="543"/>
      <c r="Y1" s="543"/>
      <c r="Z1" s="543"/>
      <c r="AA1" s="543"/>
      <c r="AB1" s="543"/>
      <c r="AC1" s="543"/>
      <c r="AD1" s="543"/>
      <c r="AE1" s="543"/>
      <c r="AF1" s="543"/>
      <c r="AG1" s="543"/>
      <c r="AH1" s="543"/>
      <c r="AI1" s="543"/>
      <c r="AJ1" s="543"/>
      <c r="AK1" s="543"/>
      <c r="AL1" s="543"/>
      <c r="AM1" s="543"/>
      <c r="AN1" s="543"/>
      <c r="AO1" s="543"/>
      <c r="AP1" s="543"/>
      <c r="AQ1" s="543"/>
      <c r="AR1" s="543"/>
      <c r="AS1" s="543"/>
      <c r="AT1" s="543"/>
      <c r="AU1" s="543"/>
      <c r="AV1" s="543"/>
      <c r="AW1" s="543"/>
      <c r="AX1" s="543"/>
      <c r="AY1" s="543"/>
      <c r="AZ1" s="543"/>
      <c r="BA1" s="543"/>
      <c r="BB1" s="543"/>
      <c r="BC1" s="543"/>
      <c r="BD1" s="543"/>
      <c r="BE1" s="543"/>
      <c r="BF1" s="543"/>
      <c r="BG1" s="543"/>
      <c r="BH1" s="543"/>
      <c r="BI1" s="543"/>
      <c r="BJ1" s="543"/>
      <c r="BK1" s="544"/>
    </row>
    <row r="2" spans="1:63" s="381" customFormat="1" ht="21" hidden="1" customHeight="1" x14ac:dyDescent="0.2">
      <c r="A2" s="381" t="s">
        <v>19</v>
      </c>
      <c r="B2" s="381">
        <v>101626</v>
      </c>
      <c r="C2" s="381" t="s">
        <v>20</v>
      </c>
      <c r="D2" s="382" t="s">
        <v>21</v>
      </c>
      <c r="E2" s="381" t="s">
        <v>22</v>
      </c>
      <c r="F2" s="383" t="s">
        <v>23</v>
      </c>
      <c r="G2" s="384">
        <v>45978</v>
      </c>
      <c r="H2" s="383" t="s">
        <v>24</v>
      </c>
      <c r="I2" s="385" t="s">
        <v>25</v>
      </c>
      <c r="J2" s="381" t="s">
        <v>26</v>
      </c>
      <c r="K2" s="381">
        <v>71985259062</v>
      </c>
      <c r="L2" s="381">
        <v>71985259062</v>
      </c>
      <c r="Q2" s="386"/>
      <c r="R2" s="382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7"/>
      <c r="AI2" s="387"/>
      <c r="AJ2" s="387"/>
      <c r="AK2" s="387"/>
      <c r="AL2" s="387"/>
      <c r="AM2" s="387"/>
      <c r="AN2" s="387"/>
      <c r="AO2" s="387"/>
      <c r="AP2" s="387"/>
      <c r="AQ2" s="387"/>
      <c r="AR2" s="387"/>
      <c r="AS2" s="387"/>
      <c r="AT2" s="387"/>
      <c r="AU2" s="387"/>
      <c r="AV2" s="387"/>
      <c r="AW2" s="387"/>
      <c r="AX2" s="387"/>
      <c r="AY2" s="387"/>
      <c r="AZ2" s="387"/>
      <c r="BA2" s="387"/>
      <c r="BB2" s="387"/>
      <c r="BC2" s="387"/>
      <c r="BD2" s="387"/>
      <c r="BE2" s="387"/>
      <c r="BF2" s="387"/>
      <c r="BG2" s="387"/>
      <c r="BH2" s="387"/>
      <c r="BI2" s="387"/>
      <c r="BJ2" s="387"/>
      <c r="BK2" s="388"/>
    </row>
    <row r="3" spans="1:63" s="381" customFormat="1" ht="21" hidden="1" customHeight="1" x14ac:dyDescent="0.2">
      <c r="A3" s="381" t="s">
        <v>19</v>
      </c>
      <c r="B3" s="381">
        <v>101631</v>
      </c>
      <c r="C3" s="381" t="s">
        <v>20</v>
      </c>
      <c r="D3" s="382" t="s">
        <v>27</v>
      </c>
      <c r="E3" s="381" t="s">
        <v>22</v>
      </c>
      <c r="F3" s="383" t="s">
        <v>23</v>
      </c>
      <c r="G3" s="384">
        <v>45978</v>
      </c>
      <c r="H3" s="383" t="s">
        <v>28</v>
      </c>
      <c r="I3" s="385" t="s">
        <v>29</v>
      </c>
      <c r="J3" s="381" t="s">
        <v>30</v>
      </c>
      <c r="K3" s="381">
        <v>71988887819</v>
      </c>
      <c r="L3" s="381">
        <v>71988887819</v>
      </c>
      <c r="Q3" s="386"/>
      <c r="R3" s="382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/>
      <c r="AQ3" s="387"/>
      <c r="AR3" s="387"/>
      <c r="AS3" s="387"/>
      <c r="AT3" s="387"/>
      <c r="AU3" s="387"/>
      <c r="AV3" s="387"/>
      <c r="AW3" s="387"/>
      <c r="AX3" s="387"/>
      <c r="AY3" s="387"/>
      <c r="AZ3" s="387"/>
      <c r="BA3" s="387"/>
      <c r="BB3" s="387"/>
      <c r="BC3" s="387"/>
      <c r="BD3" s="387"/>
      <c r="BE3" s="387"/>
      <c r="BF3" s="387"/>
      <c r="BG3" s="387"/>
      <c r="BH3" s="387"/>
      <c r="BI3" s="387"/>
      <c r="BJ3" s="387"/>
      <c r="BK3" s="388"/>
    </row>
    <row r="4" spans="1:63" s="381" customFormat="1" ht="21" hidden="1" customHeight="1" x14ac:dyDescent="0.2">
      <c r="A4" s="381" t="s">
        <v>19</v>
      </c>
      <c r="B4" s="381">
        <v>101622</v>
      </c>
      <c r="C4" s="381" t="s">
        <v>20</v>
      </c>
      <c r="D4" s="382" t="s">
        <v>31</v>
      </c>
      <c r="E4" s="381" t="s">
        <v>32</v>
      </c>
      <c r="F4" s="383" t="s">
        <v>23</v>
      </c>
      <c r="G4" s="384">
        <v>45978</v>
      </c>
      <c r="H4" s="383" t="s">
        <v>33</v>
      </c>
      <c r="I4" s="385" t="s">
        <v>34</v>
      </c>
      <c r="J4" s="381" t="s">
        <v>35</v>
      </c>
      <c r="K4" s="381">
        <v>71991503249</v>
      </c>
      <c r="L4" s="381">
        <v>71991503249</v>
      </c>
      <c r="O4" s="389"/>
      <c r="Q4" s="386"/>
      <c r="R4" s="382"/>
      <c r="S4" s="387"/>
      <c r="T4" s="387"/>
      <c r="U4" s="387"/>
      <c r="V4" s="387"/>
      <c r="W4" s="387"/>
      <c r="X4" s="387"/>
      <c r="Y4" s="387"/>
      <c r="Z4" s="387"/>
      <c r="AA4" s="387"/>
      <c r="AB4" s="387"/>
      <c r="AC4" s="387"/>
      <c r="AD4" s="387"/>
      <c r="AE4" s="387"/>
      <c r="AF4" s="387"/>
      <c r="AG4" s="387"/>
      <c r="AH4" s="387"/>
      <c r="AI4" s="387"/>
      <c r="AJ4" s="387"/>
      <c r="AK4" s="387"/>
      <c r="AL4" s="387"/>
      <c r="AM4" s="387"/>
      <c r="AN4" s="387"/>
      <c r="AO4" s="387"/>
      <c r="AP4" s="387"/>
      <c r="AQ4" s="387"/>
      <c r="AR4" s="387"/>
      <c r="AS4" s="387"/>
      <c r="AT4" s="387"/>
      <c r="AU4" s="387"/>
      <c r="AV4" s="387"/>
      <c r="AW4" s="387"/>
      <c r="AX4" s="387"/>
      <c r="AY4" s="387"/>
      <c r="AZ4" s="387"/>
      <c r="BA4" s="387"/>
      <c r="BB4" s="387"/>
      <c r="BC4" s="387"/>
      <c r="BD4" s="387"/>
      <c r="BE4" s="387"/>
      <c r="BF4" s="387"/>
      <c r="BG4" s="387"/>
      <c r="BH4" s="387"/>
      <c r="BI4" s="387"/>
      <c r="BJ4" s="387"/>
      <c r="BK4" s="388"/>
    </row>
    <row r="5" spans="1:63" s="381" customFormat="1" ht="21" hidden="1" customHeight="1" x14ac:dyDescent="0.2">
      <c r="A5" s="381" t="s">
        <v>19</v>
      </c>
      <c r="B5" s="381">
        <v>101624</v>
      </c>
      <c r="C5" s="381" t="s">
        <v>20</v>
      </c>
      <c r="D5" s="382" t="s">
        <v>36</v>
      </c>
      <c r="E5" s="381" t="s">
        <v>22</v>
      </c>
      <c r="F5" s="383" t="s">
        <v>23</v>
      </c>
      <c r="G5" s="384">
        <v>45978</v>
      </c>
      <c r="H5" s="383" t="s">
        <v>37</v>
      </c>
      <c r="I5" s="385" t="s">
        <v>38</v>
      </c>
      <c r="J5" s="381" t="s">
        <v>39</v>
      </c>
      <c r="K5" s="381">
        <v>79988931405</v>
      </c>
      <c r="L5" s="381">
        <v>79988931405</v>
      </c>
      <c r="Q5" s="386"/>
      <c r="R5" s="382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7"/>
      <c r="AR5" s="387"/>
      <c r="AS5" s="387"/>
      <c r="AT5" s="387"/>
      <c r="AU5" s="387"/>
      <c r="AV5" s="387"/>
      <c r="AW5" s="387"/>
      <c r="AX5" s="387"/>
      <c r="AY5" s="387"/>
      <c r="AZ5" s="387"/>
      <c r="BA5" s="387"/>
      <c r="BB5" s="387"/>
      <c r="BC5" s="387"/>
      <c r="BD5" s="387"/>
      <c r="BE5" s="387"/>
      <c r="BF5" s="387"/>
      <c r="BG5" s="387"/>
      <c r="BH5" s="387"/>
      <c r="BI5" s="387"/>
      <c r="BJ5" s="387"/>
      <c r="BK5" s="388"/>
    </row>
    <row r="6" spans="1:63" s="381" customFormat="1" ht="21" hidden="1" customHeight="1" x14ac:dyDescent="0.2">
      <c r="A6" s="381" t="s">
        <v>19</v>
      </c>
      <c r="B6" s="381">
        <v>101630</v>
      </c>
      <c r="C6" s="381" t="s">
        <v>20</v>
      </c>
      <c r="D6" s="382" t="s">
        <v>40</v>
      </c>
      <c r="E6" s="381" t="s">
        <v>22</v>
      </c>
      <c r="F6" s="383" t="s">
        <v>23</v>
      </c>
      <c r="G6" s="384">
        <v>45978</v>
      </c>
      <c r="H6" s="383" t="s">
        <v>41</v>
      </c>
      <c r="I6" s="385" t="s">
        <v>42</v>
      </c>
      <c r="J6" s="381" t="s">
        <v>43</v>
      </c>
      <c r="K6" s="381">
        <v>71996391707</v>
      </c>
      <c r="L6" s="381">
        <v>71996391707</v>
      </c>
      <c r="Q6" s="386"/>
      <c r="R6" s="382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387"/>
      <c r="AK6" s="387"/>
      <c r="AL6" s="387"/>
      <c r="AM6" s="387"/>
      <c r="AN6" s="387"/>
      <c r="AO6" s="387"/>
      <c r="AP6" s="387"/>
      <c r="AQ6" s="387"/>
      <c r="AR6" s="387"/>
      <c r="AS6" s="387"/>
      <c r="AT6" s="387"/>
      <c r="AU6" s="387"/>
      <c r="AV6" s="387"/>
      <c r="AW6" s="387"/>
      <c r="AX6" s="387"/>
      <c r="AY6" s="387"/>
      <c r="AZ6" s="387"/>
      <c r="BA6" s="387"/>
      <c r="BB6" s="387"/>
      <c r="BC6" s="387"/>
      <c r="BD6" s="387"/>
      <c r="BE6" s="387"/>
      <c r="BF6" s="387"/>
      <c r="BG6" s="387"/>
      <c r="BH6" s="387"/>
      <c r="BI6" s="387"/>
      <c r="BJ6" s="387"/>
      <c r="BK6" s="388"/>
    </row>
    <row r="7" spans="1:63" s="381" customFormat="1" ht="21" hidden="1" customHeight="1" x14ac:dyDescent="0.2">
      <c r="A7" s="381" t="s">
        <v>19</v>
      </c>
      <c r="B7" s="381">
        <v>101627</v>
      </c>
      <c r="C7" s="381" t="s">
        <v>20</v>
      </c>
      <c r="D7" s="382" t="s">
        <v>44</v>
      </c>
      <c r="E7" s="381" t="s">
        <v>22</v>
      </c>
      <c r="F7" s="383" t="s">
        <v>23</v>
      </c>
      <c r="G7" s="384">
        <v>45978</v>
      </c>
      <c r="H7" s="383" t="s">
        <v>45</v>
      </c>
      <c r="I7" s="385" t="s">
        <v>46</v>
      </c>
      <c r="J7" s="381" t="s">
        <v>47</v>
      </c>
      <c r="K7" s="381">
        <v>71991690172</v>
      </c>
      <c r="L7" s="381">
        <v>71991690172</v>
      </c>
      <c r="Q7" s="386"/>
      <c r="R7" s="382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7"/>
      <c r="AQ7" s="387"/>
      <c r="AR7" s="387"/>
      <c r="AS7" s="387"/>
      <c r="AT7" s="387"/>
      <c r="AU7" s="387"/>
      <c r="AV7" s="387"/>
      <c r="AW7" s="387"/>
      <c r="AX7" s="387"/>
      <c r="AY7" s="387"/>
      <c r="AZ7" s="387"/>
      <c r="BA7" s="387"/>
      <c r="BB7" s="387"/>
      <c r="BC7" s="387"/>
      <c r="BD7" s="387"/>
      <c r="BE7" s="387"/>
      <c r="BF7" s="387"/>
      <c r="BG7" s="387"/>
      <c r="BH7" s="387"/>
      <c r="BI7" s="387"/>
      <c r="BJ7" s="387"/>
      <c r="BK7" s="388"/>
    </row>
    <row r="8" spans="1:63" s="381" customFormat="1" ht="21" hidden="1" customHeight="1" x14ac:dyDescent="0.2">
      <c r="A8" s="381" t="s">
        <v>19</v>
      </c>
      <c r="B8" s="381">
        <v>101623</v>
      </c>
      <c r="C8" s="381" t="s">
        <v>20</v>
      </c>
      <c r="D8" s="382" t="s">
        <v>48</v>
      </c>
      <c r="E8" s="381" t="s">
        <v>22</v>
      </c>
      <c r="F8" s="383" t="s">
        <v>23</v>
      </c>
      <c r="G8" s="384">
        <v>45979</v>
      </c>
      <c r="H8" s="383" t="s">
        <v>49</v>
      </c>
      <c r="I8" s="390" t="s">
        <v>50</v>
      </c>
      <c r="J8" s="391" t="s">
        <v>51</v>
      </c>
      <c r="K8" s="381">
        <v>71999427728</v>
      </c>
      <c r="L8" s="381">
        <v>71999427728</v>
      </c>
      <c r="N8" s="381" t="s">
        <v>52</v>
      </c>
      <c r="O8" s="389" t="s">
        <v>53</v>
      </c>
      <c r="Q8" s="386"/>
      <c r="R8" s="382" t="s">
        <v>54</v>
      </c>
      <c r="S8" s="387"/>
      <c r="T8" s="387"/>
      <c r="U8" s="387"/>
      <c r="V8" s="387"/>
      <c r="W8" s="387"/>
      <c r="X8" s="387"/>
      <c r="Y8" s="387"/>
      <c r="Z8" s="387"/>
      <c r="AA8" s="387"/>
      <c r="AB8" s="387"/>
      <c r="AC8" s="387"/>
      <c r="AD8" s="387"/>
      <c r="AE8" s="387"/>
      <c r="AF8" s="387"/>
      <c r="AG8" s="387"/>
      <c r="AH8" s="387"/>
      <c r="AI8" s="387"/>
      <c r="AJ8" s="387"/>
      <c r="AK8" s="387"/>
      <c r="AL8" s="387"/>
      <c r="AM8" s="387"/>
      <c r="AN8" s="387"/>
      <c r="AO8" s="387"/>
      <c r="AP8" s="387"/>
      <c r="AQ8" s="387"/>
      <c r="AR8" s="387"/>
      <c r="AS8" s="387"/>
      <c r="AT8" s="387"/>
      <c r="AU8" s="387"/>
      <c r="AV8" s="387"/>
      <c r="AW8" s="387"/>
      <c r="AX8" s="387"/>
      <c r="AY8" s="387"/>
      <c r="AZ8" s="387"/>
      <c r="BA8" s="387"/>
      <c r="BB8" s="387"/>
      <c r="BC8" s="387"/>
      <c r="BD8" s="387"/>
      <c r="BE8" s="387"/>
      <c r="BF8" s="387"/>
      <c r="BG8" s="387"/>
      <c r="BH8" s="387"/>
      <c r="BI8" s="387"/>
      <c r="BJ8" s="387"/>
      <c r="BK8" s="388"/>
    </row>
    <row r="9" spans="1:63" s="381" customFormat="1" ht="21" hidden="1" customHeight="1" x14ac:dyDescent="0.2">
      <c r="A9" s="381" t="s">
        <v>19</v>
      </c>
      <c r="B9" s="381">
        <v>101624</v>
      </c>
      <c r="C9" s="381" t="s">
        <v>20</v>
      </c>
      <c r="D9" s="382" t="s">
        <v>36</v>
      </c>
      <c r="E9" s="381" t="s">
        <v>22</v>
      </c>
      <c r="F9" s="383" t="s">
        <v>23</v>
      </c>
      <c r="G9" s="384">
        <v>45979</v>
      </c>
      <c r="H9" s="383" t="s">
        <v>55</v>
      </c>
      <c r="I9" s="385">
        <v>20749338</v>
      </c>
      <c r="J9" s="381" t="s">
        <v>56</v>
      </c>
      <c r="K9" s="381">
        <v>71996515083</v>
      </c>
      <c r="L9" s="381">
        <v>71996515083</v>
      </c>
      <c r="Q9" s="392" t="s">
        <v>57</v>
      </c>
      <c r="R9" s="382" t="s">
        <v>58</v>
      </c>
      <c r="S9" s="387"/>
      <c r="T9" s="387"/>
      <c r="U9" s="387"/>
      <c r="V9" s="387"/>
      <c r="W9" s="387"/>
      <c r="X9" s="387"/>
      <c r="Y9" s="387"/>
      <c r="Z9" s="387"/>
      <c r="AA9" s="387"/>
      <c r="AB9" s="387"/>
      <c r="AC9" s="387"/>
      <c r="AD9" s="387"/>
      <c r="AE9" s="387"/>
      <c r="AF9" s="387"/>
      <c r="AG9" s="387"/>
      <c r="AH9" s="387"/>
      <c r="AI9" s="387"/>
      <c r="AJ9" s="387"/>
      <c r="AK9" s="387"/>
      <c r="AL9" s="387"/>
      <c r="AM9" s="387"/>
      <c r="AN9" s="387"/>
      <c r="AO9" s="387"/>
      <c r="AP9" s="387"/>
      <c r="AQ9" s="387"/>
      <c r="AR9" s="387"/>
      <c r="AS9" s="387"/>
      <c r="AT9" s="387"/>
      <c r="AU9" s="387"/>
      <c r="AV9" s="387"/>
      <c r="AW9" s="387"/>
      <c r="AX9" s="387"/>
      <c r="AY9" s="387"/>
      <c r="AZ9" s="387"/>
      <c r="BA9" s="387"/>
      <c r="BB9" s="387"/>
      <c r="BC9" s="387"/>
      <c r="BD9" s="387"/>
      <c r="BE9" s="387"/>
      <c r="BF9" s="387"/>
      <c r="BG9" s="387"/>
      <c r="BH9" s="387"/>
      <c r="BI9" s="387"/>
      <c r="BJ9" s="387"/>
      <c r="BK9" s="388"/>
    </row>
    <row r="10" spans="1:63" s="381" customFormat="1" ht="21" hidden="1" customHeight="1" x14ac:dyDescent="0.2">
      <c r="A10" s="381" t="s">
        <v>19</v>
      </c>
      <c r="B10" s="381">
        <v>101624</v>
      </c>
      <c r="C10" s="381" t="s">
        <v>20</v>
      </c>
      <c r="D10" s="382" t="s">
        <v>36</v>
      </c>
      <c r="E10" s="381" t="s">
        <v>22</v>
      </c>
      <c r="F10" s="383" t="s">
        <v>23</v>
      </c>
      <c r="G10" s="384">
        <v>45979</v>
      </c>
      <c r="H10" s="383" t="s">
        <v>59</v>
      </c>
      <c r="I10" s="385" t="s">
        <v>60</v>
      </c>
      <c r="J10" s="381" t="s">
        <v>61</v>
      </c>
      <c r="K10" s="381">
        <v>71996180232</v>
      </c>
      <c r="L10" s="381">
        <v>71996180232</v>
      </c>
      <c r="Q10" s="386"/>
      <c r="R10" s="382"/>
      <c r="S10" s="387"/>
      <c r="T10" s="387"/>
      <c r="U10" s="387"/>
      <c r="V10" s="387"/>
      <c r="W10" s="387"/>
      <c r="X10" s="387"/>
      <c r="Y10" s="387"/>
      <c r="Z10" s="387"/>
      <c r="AA10" s="387"/>
      <c r="AB10" s="387"/>
      <c r="AC10" s="387"/>
      <c r="AD10" s="387"/>
      <c r="AE10" s="387"/>
      <c r="AF10" s="387"/>
      <c r="AG10" s="387"/>
      <c r="AH10" s="387"/>
      <c r="AI10" s="387"/>
      <c r="AJ10" s="387"/>
      <c r="AK10" s="387"/>
      <c r="AL10" s="387"/>
      <c r="AM10" s="387"/>
      <c r="AN10" s="387"/>
      <c r="AO10" s="387"/>
      <c r="AP10" s="387"/>
      <c r="AQ10" s="387"/>
      <c r="AR10" s="387"/>
      <c r="AS10" s="387"/>
      <c r="AT10" s="387"/>
      <c r="AU10" s="387"/>
      <c r="AV10" s="387"/>
      <c r="AW10" s="387"/>
      <c r="AX10" s="387"/>
      <c r="AY10" s="387"/>
      <c r="AZ10" s="387"/>
      <c r="BA10" s="387"/>
      <c r="BB10" s="387"/>
      <c r="BC10" s="387"/>
      <c r="BD10" s="387"/>
      <c r="BE10" s="387"/>
      <c r="BF10" s="387"/>
      <c r="BG10" s="387"/>
      <c r="BH10" s="387"/>
      <c r="BI10" s="387"/>
      <c r="BJ10" s="387"/>
      <c r="BK10" s="388"/>
    </row>
    <row r="11" spans="1:63" s="381" customFormat="1" ht="21" customHeight="1" x14ac:dyDescent="0.2">
      <c r="A11" s="381" t="s">
        <v>19</v>
      </c>
      <c r="B11" s="381">
        <v>101629</v>
      </c>
      <c r="C11" s="381" t="s">
        <v>20</v>
      </c>
      <c r="D11" s="382" t="s">
        <v>62</v>
      </c>
      <c r="E11" s="381" t="s">
        <v>22</v>
      </c>
      <c r="F11" s="383" t="s">
        <v>23</v>
      </c>
      <c r="G11" s="384">
        <v>45973</v>
      </c>
      <c r="H11" s="383" t="s">
        <v>63</v>
      </c>
      <c r="I11" s="393">
        <v>25049812</v>
      </c>
      <c r="J11" s="391" t="s">
        <v>64</v>
      </c>
      <c r="K11" s="381">
        <v>71996244922</v>
      </c>
      <c r="L11" s="381">
        <v>71991454712</v>
      </c>
      <c r="N11" s="381" t="s">
        <v>52</v>
      </c>
      <c r="O11" s="381" t="s">
        <v>65</v>
      </c>
      <c r="Q11" s="386"/>
      <c r="R11" s="382" t="s">
        <v>66</v>
      </c>
      <c r="S11" s="387"/>
      <c r="T11" s="387"/>
      <c r="U11" s="387"/>
      <c r="V11" s="387"/>
      <c r="W11" s="387"/>
      <c r="X11" s="387"/>
      <c r="Y11" s="387"/>
      <c r="Z11" s="387"/>
      <c r="AA11" s="387"/>
      <c r="AB11" s="387"/>
      <c r="AC11" s="387"/>
      <c r="AD11" s="387"/>
      <c r="AE11" s="387"/>
      <c r="AF11" s="387"/>
      <c r="AG11" s="387"/>
      <c r="AH11" s="387"/>
      <c r="AI11" s="387"/>
      <c r="AJ11" s="387"/>
      <c r="AK11" s="387"/>
      <c r="AL11" s="387"/>
      <c r="AM11" s="387"/>
      <c r="AN11" s="387"/>
      <c r="AO11" s="387"/>
      <c r="AP11" s="387"/>
      <c r="AQ11" s="387"/>
      <c r="AR11" s="387"/>
      <c r="AS11" s="387"/>
      <c r="AT11" s="387"/>
      <c r="AU11" s="387"/>
      <c r="AV11" s="387"/>
      <c r="AW11" s="387"/>
      <c r="AX11" s="387"/>
      <c r="AY11" s="387"/>
      <c r="AZ11" s="387"/>
      <c r="BA11" s="387"/>
      <c r="BB11" s="387"/>
      <c r="BC11" s="387"/>
      <c r="BD11" s="387"/>
      <c r="BE11" s="387"/>
      <c r="BF11" s="387"/>
      <c r="BG11" s="387"/>
      <c r="BH11" s="387"/>
      <c r="BI11" s="387"/>
      <c r="BJ11" s="387"/>
      <c r="BK11" s="388"/>
    </row>
    <row r="12" spans="1:63" s="381" customFormat="1" ht="21" hidden="1" customHeight="1" x14ac:dyDescent="0.2">
      <c r="A12" s="381" t="s">
        <v>19</v>
      </c>
      <c r="B12" s="381">
        <v>101623</v>
      </c>
      <c r="C12" s="381" t="s">
        <v>20</v>
      </c>
      <c r="D12" s="382" t="s">
        <v>48</v>
      </c>
      <c r="E12" s="381" t="s">
        <v>22</v>
      </c>
      <c r="F12" s="383" t="s">
        <v>23</v>
      </c>
      <c r="G12" s="384">
        <v>45982</v>
      </c>
      <c r="H12" s="383" t="s">
        <v>67</v>
      </c>
      <c r="I12" s="393">
        <v>232976277</v>
      </c>
      <c r="Q12" s="386"/>
      <c r="R12" s="382"/>
      <c r="S12" s="387"/>
      <c r="T12" s="387"/>
      <c r="U12" s="387"/>
      <c r="V12" s="387"/>
      <c r="W12" s="387"/>
      <c r="X12" s="387"/>
      <c r="Y12" s="387"/>
      <c r="Z12" s="387"/>
      <c r="AA12" s="387"/>
      <c r="AB12" s="387"/>
      <c r="AC12" s="387"/>
      <c r="AD12" s="387"/>
      <c r="AE12" s="387"/>
      <c r="AF12" s="387"/>
      <c r="AG12" s="387"/>
      <c r="AH12" s="387"/>
      <c r="AI12" s="387"/>
      <c r="AJ12" s="387"/>
      <c r="AK12" s="387"/>
      <c r="AL12" s="387"/>
      <c r="AM12" s="387"/>
      <c r="AN12" s="387"/>
      <c r="AO12" s="387"/>
      <c r="AP12" s="387"/>
      <c r="AQ12" s="387"/>
      <c r="AR12" s="387"/>
      <c r="AS12" s="387"/>
      <c r="AT12" s="387"/>
      <c r="AU12" s="387"/>
      <c r="AV12" s="387"/>
      <c r="AW12" s="387"/>
      <c r="AX12" s="387"/>
      <c r="AY12" s="387"/>
      <c r="AZ12" s="387"/>
      <c r="BA12" s="387"/>
      <c r="BB12" s="387"/>
      <c r="BC12" s="387"/>
      <c r="BD12" s="387"/>
      <c r="BE12" s="387"/>
      <c r="BF12" s="387"/>
      <c r="BG12" s="387"/>
      <c r="BH12" s="387"/>
      <c r="BI12" s="387"/>
      <c r="BJ12" s="387"/>
      <c r="BK12" s="388"/>
    </row>
    <row r="13" spans="1:63" s="381" customFormat="1" ht="21" hidden="1" customHeight="1" x14ac:dyDescent="0.2">
      <c r="A13" s="381" t="s">
        <v>19</v>
      </c>
      <c r="B13" s="381">
        <v>101630</v>
      </c>
      <c r="C13" s="381" t="s">
        <v>20</v>
      </c>
      <c r="D13" s="382" t="s">
        <v>40</v>
      </c>
      <c r="E13" s="381" t="s">
        <v>22</v>
      </c>
      <c r="F13" s="383" t="s">
        <v>23</v>
      </c>
      <c r="G13" s="384">
        <v>45980</v>
      </c>
      <c r="H13" s="383" t="s">
        <v>68</v>
      </c>
      <c r="I13" s="393">
        <v>25051421</v>
      </c>
      <c r="J13" s="381" t="s">
        <v>69</v>
      </c>
      <c r="K13" s="381">
        <v>71992982723</v>
      </c>
      <c r="L13" s="381">
        <v>71992982723</v>
      </c>
      <c r="M13" s="381" t="s">
        <v>70</v>
      </c>
      <c r="Q13" s="386"/>
      <c r="R13" s="382"/>
      <c r="S13" s="387"/>
      <c r="T13" s="387"/>
      <c r="U13" s="387"/>
      <c r="V13" s="387"/>
      <c r="W13" s="387"/>
      <c r="X13" s="387"/>
      <c r="Y13" s="387"/>
      <c r="Z13" s="387"/>
      <c r="AA13" s="387"/>
      <c r="AB13" s="387"/>
      <c r="AC13" s="387"/>
      <c r="AD13" s="387"/>
      <c r="AE13" s="387"/>
      <c r="AF13" s="387"/>
      <c r="AG13" s="387"/>
      <c r="AH13" s="387"/>
      <c r="AI13" s="387"/>
      <c r="AJ13" s="387"/>
      <c r="AK13" s="387"/>
      <c r="AL13" s="387"/>
      <c r="AM13" s="387"/>
      <c r="AN13" s="387"/>
      <c r="AO13" s="387"/>
      <c r="AP13" s="387"/>
      <c r="AQ13" s="387"/>
      <c r="AR13" s="387"/>
      <c r="AS13" s="387"/>
      <c r="AT13" s="387"/>
      <c r="AU13" s="387"/>
      <c r="AV13" s="387"/>
      <c r="AW13" s="387"/>
      <c r="AX13" s="387"/>
      <c r="AY13" s="387"/>
      <c r="AZ13" s="387"/>
      <c r="BA13" s="387"/>
      <c r="BB13" s="387"/>
      <c r="BC13" s="387"/>
      <c r="BD13" s="387"/>
      <c r="BE13" s="387"/>
      <c r="BF13" s="387"/>
      <c r="BG13" s="387"/>
      <c r="BH13" s="387"/>
      <c r="BI13" s="387"/>
      <c r="BJ13" s="387"/>
      <c r="BK13" s="388"/>
    </row>
    <row r="14" spans="1:63" s="402" customFormat="1" ht="29.45" hidden="1" customHeight="1" x14ac:dyDescent="0.2">
      <c r="A14" s="383" t="s">
        <v>19</v>
      </c>
      <c r="B14" s="383">
        <v>101626</v>
      </c>
      <c r="C14" s="382" t="s">
        <v>20</v>
      </c>
      <c r="D14" s="382" t="s">
        <v>21</v>
      </c>
      <c r="E14" s="394" t="s">
        <v>22</v>
      </c>
      <c r="F14" s="394" t="s">
        <v>23</v>
      </c>
      <c r="G14" s="395">
        <v>45980</v>
      </c>
      <c r="H14" s="383" t="s">
        <v>71</v>
      </c>
      <c r="I14" s="393">
        <v>25051410</v>
      </c>
      <c r="J14" s="396" t="s">
        <v>72</v>
      </c>
      <c r="K14" s="381">
        <v>71992510712</v>
      </c>
      <c r="L14" s="381">
        <v>71992510712</v>
      </c>
      <c r="M14" s="397" t="s">
        <v>73</v>
      </c>
      <c r="N14" s="398" t="s">
        <v>74</v>
      </c>
      <c r="O14" s="382" t="s">
        <v>75</v>
      </c>
      <c r="P14" s="381"/>
      <c r="Q14" s="386"/>
      <c r="R14" s="399" t="s">
        <v>76</v>
      </c>
      <c r="S14" s="400"/>
      <c r="T14" s="400"/>
      <c r="U14" s="400"/>
      <c r="V14" s="400"/>
      <c r="W14" s="400"/>
      <c r="X14" s="400"/>
      <c r="Y14" s="400"/>
      <c r="Z14" s="400"/>
      <c r="AA14" s="400"/>
      <c r="AB14" s="400"/>
      <c r="AC14" s="400"/>
      <c r="AD14" s="400"/>
      <c r="AE14" s="400"/>
      <c r="AF14" s="400"/>
      <c r="AG14" s="400"/>
      <c r="AH14" s="400"/>
      <c r="AI14" s="400"/>
      <c r="AJ14" s="400"/>
      <c r="AK14" s="400"/>
      <c r="AL14" s="400"/>
      <c r="AM14" s="400"/>
      <c r="AN14" s="400"/>
      <c r="AO14" s="400"/>
      <c r="AP14" s="400"/>
      <c r="AQ14" s="400"/>
      <c r="AR14" s="400"/>
      <c r="AS14" s="400"/>
      <c r="AT14" s="400"/>
      <c r="AU14" s="400"/>
      <c r="AV14" s="400"/>
      <c r="AW14" s="400"/>
      <c r="AX14" s="400"/>
      <c r="AY14" s="400"/>
      <c r="AZ14" s="400"/>
      <c r="BA14" s="400"/>
      <c r="BB14" s="400"/>
      <c r="BC14" s="400"/>
      <c r="BD14" s="400"/>
      <c r="BE14" s="400"/>
      <c r="BF14" s="400"/>
      <c r="BG14" s="400"/>
      <c r="BH14" s="400"/>
      <c r="BI14" s="400"/>
      <c r="BJ14" s="400"/>
      <c r="BK14" s="401"/>
    </row>
    <row r="15" spans="1:63" s="381" customFormat="1" ht="21" hidden="1" customHeight="1" x14ac:dyDescent="0.2">
      <c r="A15" s="381" t="s">
        <v>19</v>
      </c>
      <c r="B15" s="381">
        <v>101627</v>
      </c>
      <c r="C15" s="381" t="s">
        <v>20</v>
      </c>
      <c r="D15" s="382" t="s">
        <v>44</v>
      </c>
      <c r="E15" s="381" t="s">
        <v>22</v>
      </c>
      <c r="F15" s="383" t="s">
        <v>23</v>
      </c>
      <c r="G15" s="384">
        <v>45973</v>
      </c>
      <c r="H15" s="403" t="s">
        <v>77</v>
      </c>
      <c r="I15" s="393">
        <v>14448279</v>
      </c>
      <c r="J15" s="381" t="s">
        <v>78</v>
      </c>
      <c r="K15" s="381">
        <v>71981890805</v>
      </c>
      <c r="L15" s="381">
        <v>71981890805</v>
      </c>
      <c r="M15" s="381" t="s">
        <v>70</v>
      </c>
      <c r="O15" s="381" t="s">
        <v>79</v>
      </c>
      <c r="Q15" s="386"/>
      <c r="R15" s="382"/>
      <c r="S15" s="387"/>
      <c r="T15" s="387"/>
      <c r="U15" s="387"/>
      <c r="V15" s="387"/>
      <c r="W15" s="387"/>
      <c r="X15" s="387"/>
      <c r="Y15" s="387"/>
      <c r="Z15" s="387"/>
      <c r="AA15" s="387"/>
      <c r="AB15" s="387"/>
      <c r="AC15" s="387"/>
      <c r="AD15" s="387"/>
      <c r="AE15" s="387"/>
      <c r="AF15" s="387"/>
      <c r="AG15" s="387"/>
      <c r="AH15" s="387"/>
      <c r="AI15" s="387"/>
      <c r="AJ15" s="387"/>
      <c r="AK15" s="387"/>
      <c r="AL15" s="387"/>
      <c r="AM15" s="387"/>
      <c r="AN15" s="387"/>
      <c r="AO15" s="387"/>
      <c r="AP15" s="387"/>
      <c r="AQ15" s="387"/>
      <c r="AR15" s="387"/>
      <c r="AS15" s="387"/>
      <c r="AT15" s="387"/>
      <c r="AU15" s="387"/>
      <c r="AV15" s="387"/>
      <c r="AW15" s="387"/>
      <c r="AX15" s="387"/>
      <c r="AY15" s="387"/>
      <c r="AZ15" s="387"/>
      <c r="BA15" s="387"/>
      <c r="BB15" s="387"/>
      <c r="BC15" s="387"/>
      <c r="BD15" s="387"/>
      <c r="BE15" s="387"/>
      <c r="BF15" s="387"/>
      <c r="BG15" s="387"/>
      <c r="BH15" s="387"/>
      <c r="BI15" s="387"/>
      <c r="BJ15" s="387"/>
      <c r="BK15" s="388"/>
    </row>
    <row r="16" spans="1:63" s="402" customFormat="1" ht="21" hidden="1" customHeight="1" x14ac:dyDescent="0.2">
      <c r="A16" s="381" t="s">
        <v>19</v>
      </c>
      <c r="B16" s="381">
        <v>101624</v>
      </c>
      <c r="C16" s="381" t="s">
        <v>20</v>
      </c>
      <c r="D16" s="382" t="s">
        <v>36</v>
      </c>
      <c r="E16" s="381" t="s">
        <v>22</v>
      </c>
      <c r="F16" s="383" t="s">
        <v>23</v>
      </c>
      <c r="G16" s="384">
        <v>45979</v>
      </c>
      <c r="H16" s="404" t="s">
        <v>80</v>
      </c>
      <c r="I16" s="393">
        <v>25051062</v>
      </c>
      <c r="J16" s="391" t="s">
        <v>81</v>
      </c>
      <c r="K16" s="381">
        <v>75982593011</v>
      </c>
      <c r="L16" s="381">
        <v>75982593011</v>
      </c>
      <c r="M16" s="381" t="s">
        <v>70</v>
      </c>
      <c r="N16" s="381"/>
      <c r="O16" s="381" t="s">
        <v>82</v>
      </c>
      <c r="Q16" s="405"/>
      <c r="R16" s="382" t="s">
        <v>83</v>
      </c>
      <c r="S16" s="400"/>
      <c r="T16" s="400"/>
      <c r="U16" s="400"/>
      <c r="V16" s="400"/>
      <c r="W16" s="400"/>
      <c r="X16" s="400"/>
      <c r="Y16" s="400"/>
      <c r="Z16" s="400"/>
      <c r="AA16" s="400"/>
      <c r="AB16" s="400"/>
      <c r="AC16" s="400"/>
      <c r="AD16" s="400"/>
      <c r="AE16" s="400"/>
      <c r="AF16" s="400"/>
      <c r="AG16" s="400"/>
      <c r="AH16" s="400"/>
      <c r="AI16" s="400"/>
      <c r="AJ16" s="400"/>
      <c r="AK16" s="400"/>
      <c r="AL16" s="400"/>
      <c r="AM16" s="400"/>
      <c r="AN16" s="400"/>
      <c r="AO16" s="400"/>
      <c r="AP16" s="400"/>
      <c r="AQ16" s="400"/>
      <c r="AR16" s="400"/>
      <c r="AS16" s="400"/>
      <c r="AT16" s="400"/>
      <c r="AU16" s="400"/>
      <c r="AV16" s="400"/>
      <c r="AW16" s="400"/>
      <c r="AX16" s="400"/>
      <c r="AY16" s="400"/>
      <c r="AZ16" s="400"/>
      <c r="BA16" s="400"/>
      <c r="BB16" s="400"/>
      <c r="BC16" s="400"/>
      <c r="BD16" s="400"/>
      <c r="BE16" s="400"/>
      <c r="BF16" s="400"/>
      <c r="BG16" s="400"/>
      <c r="BH16" s="400"/>
      <c r="BI16" s="400"/>
      <c r="BJ16" s="400"/>
      <c r="BK16" s="401"/>
    </row>
    <row r="17" spans="1:63" s="381" customFormat="1" ht="21" hidden="1" customHeight="1" x14ac:dyDescent="0.2">
      <c r="A17" s="381" t="s">
        <v>19</v>
      </c>
      <c r="B17" s="381">
        <v>101624</v>
      </c>
      <c r="C17" s="381" t="s">
        <v>20</v>
      </c>
      <c r="D17" s="382" t="s">
        <v>36</v>
      </c>
      <c r="E17" s="381" t="s">
        <v>22</v>
      </c>
      <c r="F17" s="383" t="s">
        <v>23</v>
      </c>
      <c r="G17" s="384">
        <v>45980</v>
      </c>
      <c r="H17" s="403" t="s">
        <v>84</v>
      </c>
      <c r="I17" s="393">
        <v>25051469</v>
      </c>
      <c r="J17" s="381" t="s">
        <v>85</v>
      </c>
      <c r="K17" s="381">
        <v>71988596479</v>
      </c>
      <c r="L17" s="381">
        <v>71988596479</v>
      </c>
      <c r="M17" s="381" t="s">
        <v>70</v>
      </c>
      <c r="Q17" s="386"/>
      <c r="R17" s="382"/>
      <c r="S17" s="387"/>
      <c r="T17" s="387"/>
      <c r="U17" s="387"/>
      <c r="V17" s="387"/>
      <c r="W17" s="387"/>
      <c r="X17" s="387"/>
      <c r="Y17" s="387"/>
      <c r="Z17" s="387"/>
      <c r="AA17" s="387"/>
      <c r="AB17" s="387"/>
      <c r="AC17" s="387"/>
      <c r="AD17" s="387"/>
      <c r="AE17" s="387"/>
      <c r="AF17" s="387"/>
      <c r="AG17" s="387"/>
      <c r="AH17" s="387"/>
      <c r="AI17" s="387"/>
      <c r="AJ17" s="387"/>
      <c r="AK17" s="387"/>
      <c r="AL17" s="387"/>
      <c r="AM17" s="387"/>
      <c r="AN17" s="387"/>
      <c r="AO17" s="387"/>
      <c r="AP17" s="387"/>
      <c r="AQ17" s="387"/>
      <c r="AR17" s="387"/>
      <c r="AS17" s="387"/>
      <c r="AT17" s="387"/>
      <c r="AU17" s="387"/>
      <c r="AV17" s="387"/>
      <c r="AW17" s="387"/>
      <c r="AX17" s="387"/>
      <c r="AY17" s="387"/>
      <c r="AZ17" s="387"/>
      <c r="BA17" s="387"/>
      <c r="BB17" s="387"/>
      <c r="BC17" s="387"/>
      <c r="BD17" s="387"/>
      <c r="BE17" s="387"/>
      <c r="BF17" s="387"/>
      <c r="BG17" s="387"/>
      <c r="BH17" s="387"/>
      <c r="BI17" s="387"/>
      <c r="BJ17" s="387"/>
      <c r="BK17" s="388"/>
    </row>
    <row r="18" spans="1:63" s="381" customFormat="1" ht="21" hidden="1" customHeight="1" x14ac:dyDescent="0.2">
      <c r="A18" s="381" t="s">
        <v>19</v>
      </c>
      <c r="B18" s="381">
        <v>101624</v>
      </c>
      <c r="C18" s="381" t="s">
        <v>20</v>
      </c>
      <c r="D18" s="382" t="s">
        <v>36</v>
      </c>
      <c r="E18" s="381" t="s">
        <v>22</v>
      </c>
      <c r="F18" s="383" t="s">
        <v>23</v>
      </c>
      <c r="G18" s="384">
        <v>45979</v>
      </c>
      <c r="H18" s="403" t="s">
        <v>86</v>
      </c>
      <c r="I18" s="393">
        <v>25051077</v>
      </c>
      <c r="J18" s="381" t="s">
        <v>87</v>
      </c>
      <c r="K18" s="381">
        <v>71993383316</v>
      </c>
      <c r="L18" s="381">
        <v>71993383316</v>
      </c>
      <c r="M18" s="381" t="s">
        <v>70</v>
      </c>
      <c r="Q18" s="386"/>
      <c r="R18" s="382"/>
      <c r="S18" s="387"/>
      <c r="T18" s="387"/>
      <c r="U18" s="387"/>
      <c r="V18" s="387"/>
      <c r="W18" s="387"/>
      <c r="X18" s="387"/>
      <c r="Y18" s="387"/>
      <c r="Z18" s="387"/>
      <c r="AA18" s="387"/>
      <c r="AB18" s="387"/>
      <c r="AC18" s="387"/>
      <c r="AD18" s="387"/>
      <c r="AE18" s="387"/>
      <c r="AF18" s="387"/>
      <c r="AG18" s="387"/>
      <c r="AH18" s="387"/>
      <c r="AI18" s="387"/>
      <c r="AJ18" s="387"/>
      <c r="AK18" s="387"/>
      <c r="AL18" s="387"/>
      <c r="AM18" s="387"/>
      <c r="AN18" s="387"/>
      <c r="AO18" s="387"/>
      <c r="AP18" s="387"/>
      <c r="AQ18" s="387"/>
      <c r="AR18" s="387"/>
      <c r="AS18" s="387"/>
      <c r="AT18" s="387"/>
      <c r="AU18" s="387"/>
      <c r="AV18" s="387"/>
      <c r="AW18" s="387"/>
      <c r="AX18" s="387"/>
      <c r="AY18" s="387"/>
      <c r="AZ18" s="387"/>
      <c r="BA18" s="387"/>
      <c r="BB18" s="387"/>
      <c r="BC18" s="387"/>
      <c r="BD18" s="387"/>
      <c r="BE18" s="387"/>
      <c r="BF18" s="387"/>
      <c r="BG18" s="387"/>
      <c r="BH18" s="387"/>
      <c r="BI18" s="387"/>
      <c r="BJ18" s="387"/>
      <c r="BK18" s="388"/>
    </row>
    <row r="19" spans="1:63" s="381" customFormat="1" ht="21" hidden="1" customHeight="1" x14ac:dyDescent="0.2">
      <c r="A19" s="381" t="s">
        <v>19</v>
      </c>
      <c r="B19" s="381">
        <v>101624</v>
      </c>
      <c r="C19" s="381" t="s">
        <v>20</v>
      </c>
      <c r="D19" s="382" t="s">
        <v>36</v>
      </c>
      <c r="E19" s="381" t="s">
        <v>22</v>
      </c>
      <c r="F19" s="383" t="s">
        <v>23</v>
      </c>
      <c r="G19" s="384">
        <v>45980</v>
      </c>
      <c r="H19" s="403" t="s">
        <v>88</v>
      </c>
      <c r="I19" s="393">
        <v>25051435</v>
      </c>
      <c r="J19" s="381" t="s">
        <v>89</v>
      </c>
      <c r="K19" s="381">
        <v>71993860543</v>
      </c>
      <c r="L19" s="381">
        <v>71993860543</v>
      </c>
      <c r="Q19" s="386"/>
      <c r="R19" s="382"/>
      <c r="S19" s="387"/>
      <c r="T19" s="387"/>
      <c r="U19" s="387"/>
      <c r="V19" s="387"/>
      <c r="W19" s="387"/>
      <c r="X19" s="387"/>
      <c r="Y19" s="387"/>
      <c r="Z19" s="387"/>
      <c r="AA19" s="387"/>
      <c r="AB19" s="387"/>
      <c r="AC19" s="387"/>
      <c r="AD19" s="387"/>
      <c r="AE19" s="387"/>
      <c r="AF19" s="387"/>
      <c r="AG19" s="387"/>
      <c r="AH19" s="387"/>
      <c r="AI19" s="387"/>
      <c r="AJ19" s="387"/>
      <c r="AK19" s="387"/>
      <c r="AL19" s="387"/>
      <c r="AM19" s="387"/>
      <c r="AN19" s="387"/>
      <c r="AO19" s="387"/>
      <c r="AP19" s="387"/>
      <c r="AQ19" s="387"/>
      <c r="AR19" s="387"/>
      <c r="AS19" s="387"/>
      <c r="AT19" s="387"/>
      <c r="AU19" s="387"/>
      <c r="AV19" s="387"/>
      <c r="AW19" s="387"/>
      <c r="AX19" s="387"/>
      <c r="AY19" s="387"/>
      <c r="AZ19" s="387"/>
      <c r="BA19" s="387"/>
      <c r="BB19" s="387"/>
      <c r="BC19" s="387"/>
      <c r="BD19" s="387"/>
      <c r="BE19" s="387"/>
      <c r="BF19" s="387"/>
      <c r="BG19" s="387"/>
      <c r="BH19" s="387"/>
      <c r="BI19" s="387"/>
      <c r="BJ19" s="387"/>
      <c r="BK19" s="388"/>
    </row>
    <row r="20" spans="1:63" s="381" customFormat="1" ht="21" customHeight="1" x14ac:dyDescent="0.2">
      <c r="A20" s="381" t="s">
        <v>19</v>
      </c>
      <c r="B20" s="381">
        <v>101629</v>
      </c>
      <c r="C20" s="381" t="s">
        <v>20</v>
      </c>
      <c r="D20" s="382" t="s">
        <v>62</v>
      </c>
      <c r="E20" s="381" t="s">
        <v>22</v>
      </c>
      <c r="F20" s="383" t="s">
        <v>23</v>
      </c>
      <c r="G20" s="384">
        <v>45978</v>
      </c>
      <c r="H20" s="403" t="s">
        <v>90</v>
      </c>
      <c r="I20" s="393">
        <v>25050694</v>
      </c>
      <c r="J20" s="381" t="s">
        <v>91</v>
      </c>
      <c r="K20" s="381">
        <v>71998181157</v>
      </c>
      <c r="L20" s="381">
        <v>71998181157</v>
      </c>
      <c r="M20" s="381" t="s">
        <v>73</v>
      </c>
      <c r="Q20" s="386"/>
      <c r="R20" s="382" t="s">
        <v>92</v>
      </c>
      <c r="S20" s="387"/>
      <c r="T20" s="387"/>
      <c r="U20" s="387"/>
      <c r="V20" s="387"/>
      <c r="W20" s="387"/>
      <c r="X20" s="387"/>
      <c r="Y20" s="387"/>
      <c r="Z20" s="387"/>
      <c r="AA20" s="387"/>
      <c r="AB20" s="387"/>
      <c r="AC20" s="387"/>
      <c r="AD20" s="387"/>
      <c r="AE20" s="387"/>
      <c r="AF20" s="387"/>
      <c r="AG20" s="387"/>
      <c r="AH20" s="387"/>
      <c r="AI20" s="387"/>
      <c r="AJ20" s="387"/>
      <c r="AK20" s="387"/>
      <c r="AL20" s="387"/>
      <c r="AM20" s="387"/>
      <c r="AN20" s="387"/>
      <c r="AO20" s="387"/>
      <c r="AP20" s="387"/>
      <c r="AQ20" s="387"/>
      <c r="AR20" s="387"/>
      <c r="AS20" s="387"/>
      <c r="AT20" s="387"/>
      <c r="AU20" s="387"/>
      <c r="AV20" s="387"/>
      <c r="AW20" s="387"/>
      <c r="AX20" s="387"/>
      <c r="AY20" s="387"/>
      <c r="AZ20" s="387"/>
      <c r="BA20" s="387"/>
      <c r="BB20" s="387"/>
      <c r="BC20" s="387"/>
      <c r="BD20" s="387"/>
      <c r="BE20" s="387"/>
      <c r="BF20" s="387"/>
      <c r="BG20" s="387"/>
      <c r="BH20" s="387"/>
      <c r="BI20" s="387"/>
      <c r="BJ20" s="387"/>
      <c r="BK20" s="388"/>
    </row>
    <row r="21" spans="1:63" s="381" customFormat="1" ht="21" hidden="1" customHeight="1" x14ac:dyDescent="0.2">
      <c r="A21" s="381" t="s">
        <v>19</v>
      </c>
      <c r="B21" s="381">
        <v>101626</v>
      </c>
      <c r="C21" s="381" t="s">
        <v>20</v>
      </c>
      <c r="D21" s="382" t="s">
        <v>21</v>
      </c>
      <c r="E21" s="381" t="s">
        <v>22</v>
      </c>
      <c r="F21" s="383" t="s">
        <v>23</v>
      </c>
      <c r="G21" s="384">
        <v>45978</v>
      </c>
      <c r="H21" s="403" t="s">
        <v>93</v>
      </c>
      <c r="I21" s="393">
        <v>25050820</v>
      </c>
      <c r="J21" s="381" t="s">
        <v>94</v>
      </c>
      <c r="K21" s="381">
        <v>71992728151</v>
      </c>
      <c r="L21" s="381">
        <v>71992728151</v>
      </c>
      <c r="Q21" s="386"/>
      <c r="R21" s="382"/>
      <c r="S21" s="387"/>
      <c r="T21" s="387"/>
      <c r="U21" s="387"/>
      <c r="V21" s="387"/>
      <c r="W21" s="387"/>
      <c r="X21" s="387"/>
      <c r="Y21" s="387"/>
      <c r="Z21" s="387"/>
      <c r="AA21" s="387"/>
      <c r="AB21" s="387"/>
      <c r="AC21" s="387"/>
      <c r="AD21" s="387"/>
      <c r="AE21" s="387"/>
      <c r="AF21" s="387"/>
      <c r="AG21" s="387"/>
      <c r="AH21" s="387"/>
      <c r="AI21" s="387"/>
      <c r="AJ21" s="387"/>
      <c r="AK21" s="387"/>
      <c r="AL21" s="387"/>
      <c r="AM21" s="387"/>
      <c r="AN21" s="387"/>
      <c r="AO21" s="387"/>
      <c r="AP21" s="387"/>
      <c r="AQ21" s="387"/>
      <c r="AR21" s="387"/>
      <c r="AS21" s="387"/>
      <c r="AT21" s="387"/>
      <c r="AU21" s="387"/>
      <c r="AV21" s="387"/>
      <c r="AW21" s="387"/>
      <c r="AX21" s="387"/>
      <c r="AY21" s="387"/>
      <c r="AZ21" s="387"/>
      <c r="BA21" s="387"/>
      <c r="BB21" s="387"/>
      <c r="BC21" s="387"/>
      <c r="BD21" s="387"/>
      <c r="BE21" s="387"/>
      <c r="BF21" s="387"/>
      <c r="BG21" s="387"/>
      <c r="BH21" s="387"/>
      <c r="BI21" s="387"/>
      <c r="BJ21" s="387"/>
      <c r="BK21" s="388"/>
    </row>
    <row r="22" spans="1:63" s="381" customFormat="1" ht="21" hidden="1" customHeight="1" x14ac:dyDescent="0.2">
      <c r="A22" s="381" t="s">
        <v>19</v>
      </c>
      <c r="B22" s="381">
        <v>101623</v>
      </c>
      <c r="C22" s="381" t="s">
        <v>20</v>
      </c>
      <c r="D22" s="382" t="s">
        <v>48</v>
      </c>
      <c r="E22" s="381" t="s">
        <v>22</v>
      </c>
      <c r="F22" s="383" t="s">
        <v>23</v>
      </c>
      <c r="G22" s="384">
        <v>45982</v>
      </c>
      <c r="H22" s="404" t="s">
        <v>95</v>
      </c>
      <c r="I22" s="393">
        <v>25051798</v>
      </c>
      <c r="J22" s="406" t="s">
        <v>96</v>
      </c>
      <c r="L22" s="381">
        <v>71992034545</v>
      </c>
      <c r="P22" s="381" t="s">
        <v>97</v>
      </c>
      <c r="Q22" s="386"/>
      <c r="R22" s="382"/>
      <c r="S22" s="381" t="s">
        <v>97</v>
      </c>
      <c r="T22" s="387"/>
      <c r="U22" s="387"/>
      <c r="V22" s="387"/>
      <c r="W22" s="387"/>
      <c r="X22" s="387"/>
      <c r="Y22" s="387"/>
      <c r="Z22" s="387"/>
      <c r="AA22" s="387"/>
      <c r="AB22" s="387"/>
      <c r="AC22" s="387"/>
      <c r="AD22" s="387"/>
      <c r="AE22" s="387"/>
      <c r="AF22" s="387"/>
      <c r="AG22" s="387"/>
      <c r="AH22" s="387"/>
      <c r="AI22" s="387"/>
      <c r="AJ22" s="387"/>
      <c r="AK22" s="387"/>
      <c r="AL22" s="387"/>
      <c r="AM22" s="387"/>
      <c r="AN22" s="387"/>
      <c r="AO22" s="387"/>
      <c r="AP22" s="387"/>
      <c r="AQ22" s="387"/>
      <c r="AR22" s="387"/>
      <c r="AS22" s="387"/>
      <c r="AT22" s="387"/>
      <c r="AU22" s="387"/>
      <c r="AV22" s="387"/>
      <c r="AW22" s="387"/>
      <c r="AX22" s="387"/>
      <c r="AY22" s="387"/>
      <c r="AZ22" s="387"/>
      <c r="BA22" s="387"/>
      <c r="BB22" s="387"/>
      <c r="BC22" s="387"/>
      <c r="BD22" s="387"/>
      <c r="BE22" s="387"/>
      <c r="BF22" s="387"/>
      <c r="BG22" s="387"/>
      <c r="BH22" s="387"/>
      <c r="BI22" s="387"/>
      <c r="BJ22" s="387"/>
      <c r="BK22" s="388"/>
    </row>
    <row r="23" spans="1:63" s="381" customFormat="1" ht="21" hidden="1" customHeight="1" x14ac:dyDescent="0.2">
      <c r="A23" s="381" t="s">
        <v>19</v>
      </c>
      <c r="B23" s="381">
        <v>101624</v>
      </c>
      <c r="C23" s="381" t="s">
        <v>20</v>
      </c>
      <c r="D23" s="382" t="s">
        <v>36</v>
      </c>
      <c r="E23" s="381" t="s">
        <v>22</v>
      </c>
      <c r="F23" s="383" t="s">
        <v>23</v>
      </c>
      <c r="G23" s="384">
        <v>45982</v>
      </c>
      <c r="H23" s="403" t="s">
        <v>98</v>
      </c>
      <c r="I23" s="393">
        <v>91147218</v>
      </c>
      <c r="J23" s="381" t="s">
        <v>99</v>
      </c>
      <c r="K23" s="381">
        <v>71987444897</v>
      </c>
      <c r="L23" s="381">
        <v>71991610719</v>
      </c>
      <c r="P23" s="381" t="s">
        <v>20</v>
      </c>
      <c r="Q23" s="386"/>
      <c r="R23" s="382" t="s">
        <v>58</v>
      </c>
      <c r="S23" s="387"/>
      <c r="T23" s="387"/>
      <c r="U23" s="387"/>
      <c r="V23" s="387"/>
      <c r="W23" s="387"/>
      <c r="X23" s="387"/>
      <c r="Y23" s="387"/>
      <c r="Z23" s="387"/>
      <c r="AA23" s="387"/>
      <c r="AB23" s="387"/>
      <c r="AC23" s="387"/>
      <c r="AD23" s="387"/>
      <c r="AE23" s="387"/>
      <c r="AF23" s="387"/>
      <c r="AG23" s="387"/>
      <c r="AH23" s="387"/>
      <c r="AI23" s="387"/>
      <c r="AJ23" s="387"/>
      <c r="AK23" s="387"/>
      <c r="AL23" s="387"/>
      <c r="AM23" s="387"/>
      <c r="AN23" s="387"/>
      <c r="AO23" s="387"/>
      <c r="AP23" s="387"/>
      <c r="AQ23" s="387"/>
      <c r="AR23" s="387"/>
      <c r="AS23" s="387"/>
      <c r="AT23" s="387"/>
      <c r="AU23" s="387"/>
      <c r="AV23" s="387"/>
      <c r="AW23" s="387"/>
      <c r="AX23" s="387"/>
      <c r="AY23" s="387"/>
      <c r="AZ23" s="387"/>
      <c r="BA23" s="387"/>
      <c r="BB23" s="387"/>
      <c r="BC23" s="387"/>
      <c r="BD23" s="387"/>
      <c r="BE23" s="387"/>
      <c r="BF23" s="387"/>
      <c r="BG23" s="387"/>
      <c r="BH23" s="387"/>
      <c r="BI23" s="387"/>
      <c r="BJ23" s="387"/>
      <c r="BK23" s="388"/>
    </row>
    <row r="24" spans="1:63" s="381" customFormat="1" ht="21" hidden="1" customHeight="1" x14ac:dyDescent="0.2">
      <c r="A24" s="381" t="s">
        <v>19</v>
      </c>
      <c r="B24" s="381">
        <v>101624</v>
      </c>
      <c r="C24" s="381" t="s">
        <v>20</v>
      </c>
      <c r="D24" s="382" t="s">
        <v>36</v>
      </c>
      <c r="E24" s="381" t="s">
        <v>22</v>
      </c>
      <c r="F24" s="383" t="s">
        <v>23</v>
      </c>
      <c r="G24" s="384">
        <v>45978</v>
      </c>
      <c r="H24" s="404" t="s">
        <v>100</v>
      </c>
      <c r="I24" s="393">
        <v>25050736</v>
      </c>
      <c r="J24" s="406" t="s">
        <v>101</v>
      </c>
      <c r="K24" s="381">
        <v>71989520551</v>
      </c>
      <c r="L24" s="381">
        <v>71989520551</v>
      </c>
      <c r="M24" s="381" t="s">
        <v>73</v>
      </c>
      <c r="N24" s="381" t="s">
        <v>52</v>
      </c>
      <c r="O24" s="382" t="s">
        <v>102</v>
      </c>
      <c r="Q24" s="386"/>
      <c r="R24" s="382"/>
      <c r="S24" s="387"/>
      <c r="T24" s="387"/>
      <c r="U24" s="387"/>
      <c r="V24" s="387"/>
      <c r="W24" s="387"/>
      <c r="X24" s="387"/>
      <c r="Y24" s="387"/>
      <c r="Z24" s="387"/>
      <c r="AA24" s="387"/>
      <c r="AB24" s="387"/>
      <c r="AC24" s="387"/>
      <c r="AD24" s="387"/>
      <c r="AE24" s="387"/>
      <c r="AF24" s="387"/>
      <c r="AG24" s="387"/>
      <c r="AH24" s="387"/>
      <c r="AI24" s="387"/>
      <c r="AJ24" s="387"/>
      <c r="AK24" s="387"/>
      <c r="AL24" s="387"/>
      <c r="AM24" s="387"/>
      <c r="AN24" s="387"/>
      <c r="AO24" s="387"/>
      <c r="AP24" s="387"/>
      <c r="AQ24" s="387"/>
      <c r="AR24" s="387"/>
      <c r="AS24" s="387"/>
      <c r="AT24" s="387"/>
      <c r="AU24" s="387"/>
      <c r="AV24" s="387"/>
      <c r="AW24" s="387"/>
      <c r="AX24" s="387"/>
      <c r="AY24" s="387"/>
      <c r="AZ24" s="387"/>
      <c r="BA24" s="387"/>
      <c r="BB24" s="387"/>
      <c r="BC24" s="387"/>
      <c r="BD24" s="387"/>
      <c r="BE24" s="387"/>
      <c r="BF24" s="387"/>
      <c r="BG24" s="387"/>
      <c r="BH24" s="387"/>
      <c r="BI24" s="387"/>
      <c r="BJ24" s="387"/>
      <c r="BK24" s="388"/>
    </row>
    <row r="25" spans="1:63" s="381" customFormat="1" ht="21" hidden="1" customHeight="1" x14ac:dyDescent="0.2">
      <c r="A25" s="381" t="s">
        <v>19</v>
      </c>
      <c r="B25" s="381">
        <v>101624</v>
      </c>
      <c r="C25" s="381" t="s">
        <v>20</v>
      </c>
      <c r="D25" s="382" t="s">
        <v>36</v>
      </c>
      <c r="E25" s="381" t="s">
        <v>22</v>
      </c>
      <c r="F25" s="381" t="s">
        <v>23</v>
      </c>
      <c r="G25" s="384">
        <v>45980</v>
      </c>
      <c r="H25" s="385" t="s">
        <v>103</v>
      </c>
      <c r="I25" s="393">
        <v>21860109</v>
      </c>
      <c r="J25" s="407" t="s">
        <v>104</v>
      </c>
      <c r="K25" s="381">
        <v>71982591244</v>
      </c>
      <c r="M25" s="381" t="s">
        <v>73</v>
      </c>
      <c r="Q25" s="386"/>
      <c r="R25" s="382"/>
      <c r="S25" s="387"/>
      <c r="T25" s="387"/>
      <c r="U25" s="387"/>
      <c r="V25" s="387"/>
      <c r="W25" s="387"/>
      <c r="X25" s="387"/>
      <c r="Y25" s="387"/>
      <c r="Z25" s="387"/>
      <c r="AA25" s="387"/>
      <c r="AB25" s="387"/>
      <c r="AC25" s="387"/>
      <c r="AD25" s="387"/>
      <c r="AE25" s="387"/>
      <c r="AF25" s="387"/>
      <c r="AG25" s="387"/>
      <c r="AH25" s="387"/>
      <c r="AI25" s="387"/>
      <c r="AJ25" s="387"/>
      <c r="AK25" s="387"/>
      <c r="AL25" s="387"/>
      <c r="AM25" s="387"/>
      <c r="AN25" s="387"/>
      <c r="AO25" s="387"/>
      <c r="AP25" s="387"/>
      <c r="AQ25" s="387"/>
      <c r="AR25" s="387"/>
      <c r="AS25" s="387"/>
      <c r="AT25" s="387"/>
      <c r="AU25" s="387"/>
      <c r="AV25" s="387"/>
      <c r="AW25" s="387"/>
      <c r="AX25" s="387"/>
      <c r="AY25" s="387"/>
      <c r="AZ25" s="387"/>
      <c r="BA25" s="387"/>
      <c r="BB25" s="387"/>
      <c r="BC25" s="387"/>
      <c r="BD25" s="387"/>
      <c r="BE25" s="387"/>
      <c r="BF25" s="387"/>
      <c r="BG25" s="387"/>
      <c r="BH25" s="387"/>
      <c r="BI25" s="387"/>
      <c r="BJ25" s="387"/>
      <c r="BK25" s="388"/>
    </row>
    <row r="26" spans="1:63" s="381" customFormat="1" ht="21" hidden="1" customHeight="1" x14ac:dyDescent="0.2">
      <c r="A26" s="381" t="s">
        <v>19</v>
      </c>
      <c r="B26" s="381">
        <v>101630</v>
      </c>
      <c r="C26" s="381" t="s">
        <v>20</v>
      </c>
      <c r="D26" s="382" t="s">
        <v>40</v>
      </c>
      <c r="E26" s="381" t="s">
        <v>22</v>
      </c>
      <c r="F26" s="381" t="s">
        <v>23</v>
      </c>
      <c r="G26" s="384">
        <v>45982</v>
      </c>
      <c r="H26" s="385" t="s">
        <v>105</v>
      </c>
      <c r="I26" s="393">
        <v>25051875</v>
      </c>
      <c r="J26" s="407" t="s">
        <v>106</v>
      </c>
      <c r="K26" s="381">
        <v>71992031345</v>
      </c>
      <c r="M26" s="381" t="s">
        <v>73</v>
      </c>
      <c r="Q26" s="386"/>
      <c r="R26" s="382"/>
      <c r="S26" s="387"/>
      <c r="T26" s="387"/>
      <c r="U26" s="387"/>
      <c r="V26" s="387"/>
      <c r="W26" s="387"/>
      <c r="X26" s="387"/>
      <c r="Y26" s="387"/>
      <c r="Z26" s="387"/>
      <c r="AA26" s="387"/>
      <c r="AB26" s="387"/>
      <c r="AC26" s="387"/>
      <c r="AD26" s="387"/>
      <c r="AE26" s="387"/>
      <c r="AF26" s="387"/>
      <c r="AG26" s="387"/>
      <c r="AH26" s="387"/>
      <c r="AI26" s="387"/>
      <c r="AJ26" s="387"/>
      <c r="AK26" s="387"/>
      <c r="AL26" s="387"/>
      <c r="AM26" s="387"/>
      <c r="AN26" s="387"/>
      <c r="AO26" s="387"/>
      <c r="AP26" s="387"/>
      <c r="AQ26" s="387"/>
      <c r="AR26" s="387"/>
      <c r="AS26" s="387"/>
      <c r="AT26" s="387"/>
      <c r="AU26" s="387"/>
      <c r="AV26" s="387"/>
      <c r="AW26" s="387"/>
      <c r="AX26" s="387"/>
      <c r="AY26" s="387"/>
      <c r="AZ26" s="387"/>
      <c r="BA26" s="387"/>
      <c r="BB26" s="387"/>
      <c r="BC26" s="387"/>
      <c r="BD26" s="387"/>
      <c r="BE26" s="387"/>
      <c r="BF26" s="387"/>
      <c r="BG26" s="387"/>
      <c r="BH26" s="387"/>
      <c r="BI26" s="387"/>
      <c r="BJ26" s="387"/>
      <c r="BK26" s="388"/>
    </row>
    <row r="27" spans="1:63" s="381" customFormat="1" ht="21" hidden="1" customHeight="1" x14ac:dyDescent="0.2">
      <c r="A27" s="381" t="s">
        <v>19</v>
      </c>
      <c r="B27" s="381">
        <v>101630</v>
      </c>
      <c r="C27" s="381" t="s">
        <v>20</v>
      </c>
      <c r="D27" s="382" t="s">
        <v>40</v>
      </c>
      <c r="E27" s="381" t="s">
        <v>22</v>
      </c>
      <c r="F27" s="381" t="s">
        <v>23</v>
      </c>
      <c r="G27" s="384">
        <v>45985</v>
      </c>
      <c r="H27" s="385" t="s">
        <v>107</v>
      </c>
      <c r="I27" s="393">
        <v>11226787</v>
      </c>
      <c r="J27" s="407" t="s">
        <v>108</v>
      </c>
      <c r="K27" s="381" t="s">
        <v>109</v>
      </c>
      <c r="L27" s="381" t="s">
        <v>109</v>
      </c>
      <c r="M27" s="381" t="s">
        <v>70</v>
      </c>
      <c r="Q27" s="386"/>
      <c r="R27" s="382"/>
      <c r="S27" s="387"/>
      <c r="T27" s="387"/>
      <c r="U27" s="387"/>
      <c r="V27" s="387"/>
      <c r="W27" s="387"/>
      <c r="X27" s="387"/>
      <c r="Y27" s="387"/>
      <c r="Z27" s="387"/>
      <c r="AA27" s="387"/>
      <c r="AB27" s="387"/>
      <c r="AC27" s="387"/>
      <c r="AD27" s="387"/>
      <c r="AE27" s="387"/>
      <c r="AF27" s="387"/>
      <c r="AG27" s="387"/>
      <c r="AH27" s="387"/>
      <c r="AI27" s="387"/>
      <c r="AJ27" s="387"/>
      <c r="AK27" s="387"/>
      <c r="AL27" s="387"/>
      <c r="AM27" s="387"/>
      <c r="AN27" s="387"/>
      <c r="AO27" s="387"/>
      <c r="AP27" s="387"/>
      <c r="AQ27" s="387"/>
      <c r="AR27" s="387"/>
      <c r="AS27" s="387"/>
      <c r="AT27" s="387"/>
      <c r="AU27" s="387"/>
      <c r="AV27" s="387"/>
      <c r="AW27" s="387"/>
      <c r="AX27" s="387"/>
      <c r="AY27" s="387"/>
      <c r="AZ27" s="387"/>
      <c r="BA27" s="387"/>
      <c r="BB27" s="387"/>
      <c r="BC27" s="387"/>
      <c r="BD27" s="387"/>
      <c r="BE27" s="387"/>
      <c r="BF27" s="387"/>
      <c r="BG27" s="387"/>
      <c r="BH27" s="387"/>
      <c r="BI27" s="387"/>
      <c r="BJ27" s="387"/>
      <c r="BK27" s="388"/>
    </row>
    <row r="28" spans="1:63" s="381" customFormat="1" ht="21" hidden="1" customHeight="1" x14ac:dyDescent="0.2">
      <c r="A28" s="381" t="s">
        <v>19</v>
      </c>
      <c r="B28" s="381">
        <v>101630</v>
      </c>
      <c r="C28" s="381" t="s">
        <v>20</v>
      </c>
      <c r="D28" s="382" t="s">
        <v>40</v>
      </c>
      <c r="E28" s="381" t="s">
        <v>22</v>
      </c>
      <c r="F28" s="381" t="s">
        <v>23</v>
      </c>
      <c r="G28" s="384">
        <v>45985</v>
      </c>
      <c r="H28" s="385" t="s">
        <v>110</v>
      </c>
      <c r="I28" s="393">
        <v>23992928</v>
      </c>
      <c r="J28" s="407" t="s">
        <v>111</v>
      </c>
      <c r="K28" s="381" t="s">
        <v>112</v>
      </c>
      <c r="L28" s="381" t="s">
        <v>112</v>
      </c>
      <c r="M28" s="381" t="s">
        <v>70</v>
      </c>
      <c r="Q28" s="386"/>
      <c r="R28" s="382"/>
      <c r="S28" s="387"/>
      <c r="T28" s="387"/>
      <c r="U28" s="387"/>
      <c r="V28" s="387"/>
      <c r="W28" s="387"/>
      <c r="X28" s="387"/>
      <c r="Y28" s="387"/>
      <c r="Z28" s="387"/>
      <c r="AA28" s="387"/>
      <c r="AB28" s="387"/>
      <c r="AC28" s="387"/>
      <c r="AD28" s="387"/>
      <c r="AE28" s="387"/>
      <c r="AF28" s="387"/>
      <c r="AG28" s="387"/>
      <c r="AH28" s="387"/>
      <c r="AI28" s="387"/>
      <c r="AJ28" s="387"/>
      <c r="AK28" s="387"/>
      <c r="AL28" s="387"/>
      <c r="AM28" s="387"/>
      <c r="AN28" s="387"/>
      <c r="AO28" s="387"/>
      <c r="AP28" s="387"/>
      <c r="AQ28" s="387"/>
      <c r="AR28" s="387"/>
      <c r="AS28" s="387"/>
      <c r="AT28" s="387"/>
      <c r="AU28" s="387"/>
      <c r="AV28" s="387"/>
      <c r="AW28" s="387"/>
      <c r="AX28" s="387"/>
      <c r="AY28" s="387"/>
      <c r="AZ28" s="387"/>
      <c r="BA28" s="387"/>
      <c r="BB28" s="387"/>
      <c r="BC28" s="387"/>
      <c r="BD28" s="387"/>
      <c r="BE28" s="387"/>
      <c r="BF28" s="387"/>
      <c r="BG28" s="387"/>
      <c r="BH28" s="387"/>
      <c r="BI28" s="387"/>
      <c r="BJ28" s="387"/>
      <c r="BK28" s="388"/>
    </row>
    <row r="29" spans="1:63" s="381" customFormat="1" ht="21" hidden="1" customHeight="1" x14ac:dyDescent="0.2">
      <c r="A29" s="381" t="s">
        <v>19</v>
      </c>
      <c r="B29" s="381">
        <v>101623</v>
      </c>
      <c r="C29" s="381" t="s">
        <v>20</v>
      </c>
      <c r="D29" s="382" t="s">
        <v>48</v>
      </c>
      <c r="E29" s="381" t="s">
        <v>22</v>
      </c>
      <c r="F29" s="381" t="s">
        <v>23</v>
      </c>
      <c r="G29" s="384">
        <v>45985</v>
      </c>
      <c r="H29" s="385" t="s">
        <v>113</v>
      </c>
      <c r="I29" s="393">
        <v>162635325</v>
      </c>
      <c r="J29" s="407" t="s">
        <v>114</v>
      </c>
      <c r="K29" s="381" t="s">
        <v>115</v>
      </c>
      <c r="L29" s="381" t="s">
        <v>115</v>
      </c>
      <c r="M29" s="381" t="s">
        <v>70</v>
      </c>
      <c r="Q29" s="386"/>
      <c r="R29" s="382"/>
      <c r="S29" s="387"/>
      <c r="T29" s="387"/>
      <c r="U29" s="387"/>
      <c r="V29" s="387"/>
      <c r="W29" s="387"/>
      <c r="X29" s="387"/>
      <c r="Y29" s="387"/>
      <c r="Z29" s="387"/>
      <c r="AA29" s="387"/>
      <c r="AB29" s="387"/>
      <c r="AC29" s="387"/>
      <c r="AD29" s="387"/>
      <c r="AE29" s="387"/>
      <c r="AF29" s="387"/>
      <c r="AG29" s="387"/>
      <c r="AH29" s="387"/>
      <c r="AI29" s="387"/>
      <c r="AJ29" s="387"/>
      <c r="AK29" s="387"/>
      <c r="AL29" s="387"/>
      <c r="AM29" s="387"/>
      <c r="AN29" s="387"/>
      <c r="AO29" s="387"/>
      <c r="AP29" s="387"/>
      <c r="AQ29" s="387"/>
      <c r="AR29" s="387"/>
      <c r="AS29" s="387"/>
      <c r="AT29" s="387"/>
      <c r="AU29" s="387"/>
      <c r="AV29" s="387"/>
      <c r="AW29" s="387"/>
      <c r="AX29" s="387"/>
      <c r="AY29" s="387"/>
      <c r="AZ29" s="387"/>
      <c r="BA29" s="387"/>
      <c r="BB29" s="387"/>
      <c r="BC29" s="387"/>
      <c r="BD29" s="387"/>
      <c r="BE29" s="387"/>
      <c r="BF29" s="387"/>
      <c r="BG29" s="387"/>
      <c r="BH29" s="387"/>
      <c r="BI29" s="387"/>
      <c r="BJ29" s="387"/>
      <c r="BK29" s="388"/>
    </row>
    <row r="30" spans="1:63" s="381" customFormat="1" ht="21" hidden="1" customHeight="1" x14ac:dyDescent="0.2">
      <c r="A30" s="381" t="s">
        <v>19</v>
      </c>
      <c r="B30" s="381">
        <v>101626</v>
      </c>
      <c r="C30" s="381" t="s">
        <v>20</v>
      </c>
      <c r="D30" s="382" t="s">
        <v>21</v>
      </c>
      <c r="E30" s="381" t="s">
        <v>22</v>
      </c>
      <c r="F30" s="381" t="s">
        <v>23</v>
      </c>
      <c r="G30" s="384">
        <v>45985</v>
      </c>
      <c r="H30" s="385" t="s">
        <v>116</v>
      </c>
      <c r="I30" s="393">
        <v>25050598</v>
      </c>
      <c r="J30" s="407" t="s">
        <v>117</v>
      </c>
      <c r="K30" s="381" t="s">
        <v>118</v>
      </c>
      <c r="L30" s="381" t="s">
        <v>118</v>
      </c>
      <c r="M30" s="381" t="s">
        <v>70</v>
      </c>
      <c r="Q30" s="386"/>
      <c r="R30" s="382"/>
      <c r="S30" s="387"/>
      <c r="T30" s="387"/>
      <c r="U30" s="387"/>
      <c r="V30" s="387"/>
      <c r="W30" s="387"/>
      <c r="X30" s="387"/>
      <c r="Y30" s="387"/>
      <c r="Z30" s="387"/>
      <c r="AA30" s="387"/>
      <c r="AB30" s="387"/>
      <c r="AC30" s="387"/>
      <c r="AD30" s="387"/>
      <c r="AE30" s="387"/>
      <c r="AF30" s="387"/>
      <c r="AG30" s="387"/>
      <c r="AH30" s="387"/>
      <c r="AI30" s="387"/>
      <c r="AJ30" s="387"/>
      <c r="AK30" s="387"/>
      <c r="AL30" s="387"/>
      <c r="AM30" s="387"/>
      <c r="AN30" s="387"/>
      <c r="AO30" s="387"/>
      <c r="AP30" s="387"/>
      <c r="AQ30" s="387"/>
      <c r="AR30" s="387"/>
      <c r="AS30" s="387"/>
      <c r="AT30" s="387"/>
      <c r="AU30" s="387"/>
      <c r="AV30" s="387"/>
      <c r="AW30" s="387"/>
      <c r="AX30" s="387"/>
      <c r="AY30" s="387"/>
      <c r="AZ30" s="387"/>
      <c r="BA30" s="387"/>
      <c r="BB30" s="387"/>
      <c r="BC30" s="387"/>
      <c r="BD30" s="387"/>
      <c r="BE30" s="387"/>
      <c r="BF30" s="387"/>
      <c r="BG30" s="387"/>
      <c r="BH30" s="387"/>
      <c r="BI30" s="387"/>
      <c r="BJ30" s="387"/>
      <c r="BK30" s="388"/>
    </row>
    <row r="31" spans="1:63" s="381" customFormat="1" ht="21" hidden="1" customHeight="1" x14ac:dyDescent="0.2">
      <c r="A31" s="381" t="s">
        <v>19</v>
      </c>
      <c r="B31" s="381">
        <v>101624</v>
      </c>
      <c r="C31" s="381" t="s">
        <v>20</v>
      </c>
      <c r="D31" s="382" t="s">
        <v>36</v>
      </c>
      <c r="E31" s="381" t="s">
        <v>22</v>
      </c>
      <c r="F31" s="381" t="s">
        <v>23</v>
      </c>
      <c r="G31" s="384">
        <v>45985</v>
      </c>
      <c r="H31" s="385" t="s">
        <v>119</v>
      </c>
      <c r="I31" s="393">
        <v>25050776</v>
      </c>
      <c r="J31" s="407" t="s">
        <v>120</v>
      </c>
      <c r="K31" s="381" t="s">
        <v>121</v>
      </c>
      <c r="L31" s="381" t="s">
        <v>121</v>
      </c>
      <c r="M31" s="381" t="s">
        <v>70</v>
      </c>
      <c r="Q31" s="386"/>
      <c r="R31" s="382"/>
      <c r="S31" s="387"/>
      <c r="T31" s="387"/>
      <c r="U31" s="387"/>
      <c r="V31" s="387"/>
      <c r="W31" s="387"/>
      <c r="X31" s="387"/>
      <c r="Y31" s="387"/>
      <c r="Z31" s="387"/>
      <c r="AA31" s="387"/>
      <c r="AB31" s="387"/>
      <c r="AC31" s="387"/>
      <c r="AD31" s="387"/>
      <c r="AE31" s="387"/>
      <c r="AF31" s="387"/>
      <c r="AG31" s="387"/>
      <c r="AH31" s="387"/>
      <c r="AI31" s="387"/>
      <c r="AJ31" s="387"/>
      <c r="AK31" s="387"/>
      <c r="AL31" s="387"/>
      <c r="AM31" s="387"/>
      <c r="AN31" s="387"/>
      <c r="AO31" s="387"/>
      <c r="AP31" s="387"/>
      <c r="AQ31" s="387"/>
      <c r="AR31" s="387"/>
      <c r="AS31" s="387"/>
      <c r="AT31" s="387"/>
      <c r="AU31" s="387"/>
      <c r="AV31" s="387"/>
      <c r="AW31" s="387"/>
      <c r="AX31" s="387"/>
      <c r="AY31" s="387"/>
      <c r="AZ31" s="387"/>
      <c r="BA31" s="387"/>
      <c r="BB31" s="387"/>
      <c r="BC31" s="387"/>
      <c r="BD31" s="387"/>
      <c r="BE31" s="387"/>
      <c r="BF31" s="387"/>
      <c r="BG31" s="387"/>
      <c r="BH31" s="387"/>
      <c r="BI31" s="387"/>
      <c r="BJ31" s="387"/>
      <c r="BK31" s="388"/>
    </row>
    <row r="32" spans="1:63" s="381" customFormat="1" ht="21" hidden="1" customHeight="1" x14ac:dyDescent="0.2">
      <c r="A32" s="381" t="s">
        <v>19</v>
      </c>
      <c r="B32" s="381">
        <v>101630</v>
      </c>
      <c r="C32" s="381" t="s">
        <v>20</v>
      </c>
      <c r="D32" s="382" t="s">
        <v>40</v>
      </c>
      <c r="E32" s="381" t="s">
        <v>22</v>
      </c>
      <c r="F32" s="381" t="s">
        <v>23</v>
      </c>
      <c r="G32" s="384">
        <v>45985</v>
      </c>
      <c r="H32" s="385" t="s">
        <v>122</v>
      </c>
      <c r="I32" s="393">
        <v>21813591</v>
      </c>
      <c r="J32" s="407" t="s">
        <v>123</v>
      </c>
      <c r="K32" s="381" t="s">
        <v>124</v>
      </c>
      <c r="L32" s="381" t="s">
        <v>124</v>
      </c>
      <c r="M32" s="381" t="s">
        <v>70</v>
      </c>
      <c r="Q32" s="386"/>
      <c r="R32" s="382"/>
      <c r="S32" s="387"/>
      <c r="T32" s="387"/>
      <c r="U32" s="387"/>
      <c r="V32" s="387"/>
      <c r="W32" s="387"/>
      <c r="X32" s="387"/>
      <c r="Y32" s="387"/>
      <c r="Z32" s="387"/>
      <c r="AA32" s="387"/>
      <c r="AB32" s="387"/>
      <c r="AC32" s="387"/>
      <c r="AD32" s="387"/>
      <c r="AE32" s="387"/>
      <c r="AF32" s="387"/>
      <c r="AG32" s="387"/>
      <c r="AH32" s="387"/>
      <c r="AI32" s="387"/>
      <c r="AJ32" s="387"/>
      <c r="AK32" s="387"/>
      <c r="AL32" s="387"/>
      <c r="AM32" s="387"/>
      <c r="AN32" s="387"/>
      <c r="AO32" s="387"/>
      <c r="AP32" s="387"/>
      <c r="AQ32" s="387"/>
      <c r="AR32" s="387"/>
      <c r="AS32" s="387"/>
      <c r="AT32" s="387"/>
      <c r="AU32" s="387"/>
      <c r="AV32" s="387"/>
      <c r="AW32" s="387"/>
      <c r="AX32" s="387"/>
      <c r="AY32" s="387"/>
      <c r="AZ32" s="387"/>
      <c r="BA32" s="387"/>
      <c r="BB32" s="387"/>
      <c r="BC32" s="387"/>
      <c r="BD32" s="387"/>
      <c r="BE32" s="387"/>
      <c r="BF32" s="387"/>
      <c r="BG32" s="387"/>
      <c r="BH32" s="387"/>
      <c r="BI32" s="387"/>
      <c r="BJ32" s="387"/>
      <c r="BK32" s="388"/>
    </row>
    <row r="33" spans="1:63" s="381" customFormat="1" ht="21" hidden="1" customHeight="1" x14ac:dyDescent="0.2">
      <c r="A33" s="381" t="s">
        <v>19</v>
      </c>
      <c r="B33" s="381">
        <v>101624</v>
      </c>
      <c r="C33" s="381" t="s">
        <v>20</v>
      </c>
      <c r="D33" s="382" t="s">
        <v>36</v>
      </c>
      <c r="E33" s="381" t="s">
        <v>22</v>
      </c>
      <c r="F33" s="381" t="s">
        <v>23</v>
      </c>
      <c r="G33" s="384">
        <v>45985</v>
      </c>
      <c r="H33" s="385" t="s">
        <v>125</v>
      </c>
      <c r="I33" s="393">
        <v>14418694</v>
      </c>
      <c r="J33" s="407" t="s">
        <v>126</v>
      </c>
      <c r="K33" s="381" t="s">
        <v>127</v>
      </c>
      <c r="L33" s="381" t="s">
        <v>127</v>
      </c>
      <c r="M33" s="381" t="s">
        <v>70</v>
      </c>
      <c r="Q33" s="386" t="s">
        <v>128</v>
      </c>
      <c r="R33" s="382" t="s">
        <v>129</v>
      </c>
      <c r="S33" s="387"/>
      <c r="T33" s="387"/>
      <c r="U33" s="387"/>
      <c r="V33" s="387"/>
      <c r="W33" s="387"/>
      <c r="X33" s="387"/>
      <c r="Y33" s="387"/>
      <c r="Z33" s="387"/>
      <c r="AA33" s="387"/>
      <c r="AB33" s="387"/>
      <c r="AC33" s="387"/>
      <c r="AD33" s="387"/>
      <c r="AE33" s="387"/>
      <c r="AF33" s="387"/>
      <c r="AG33" s="387"/>
      <c r="AH33" s="387"/>
      <c r="AI33" s="387"/>
      <c r="AJ33" s="387"/>
      <c r="AK33" s="387"/>
      <c r="AL33" s="387"/>
      <c r="AM33" s="387"/>
      <c r="AN33" s="387"/>
      <c r="AO33" s="387"/>
      <c r="AP33" s="387"/>
      <c r="AQ33" s="387"/>
      <c r="AR33" s="387"/>
      <c r="AS33" s="387"/>
      <c r="AT33" s="387"/>
      <c r="AU33" s="387"/>
      <c r="AV33" s="387"/>
      <c r="AW33" s="387"/>
      <c r="AX33" s="387"/>
      <c r="AY33" s="387"/>
      <c r="AZ33" s="387"/>
      <c r="BA33" s="387"/>
      <c r="BB33" s="387"/>
      <c r="BC33" s="387"/>
      <c r="BD33" s="387"/>
      <c r="BE33" s="387"/>
      <c r="BF33" s="387"/>
      <c r="BG33" s="387"/>
      <c r="BH33" s="387"/>
      <c r="BI33" s="387"/>
      <c r="BJ33" s="387"/>
      <c r="BK33" s="388"/>
    </row>
    <row r="34" spans="1:63" s="414" customFormat="1" ht="26.25" hidden="1" customHeight="1" x14ac:dyDescent="0.2">
      <c r="A34" s="383" t="s">
        <v>19</v>
      </c>
      <c r="B34" s="383">
        <v>101623</v>
      </c>
      <c r="C34" s="389" t="s">
        <v>20</v>
      </c>
      <c r="D34" s="382" t="s">
        <v>48</v>
      </c>
      <c r="E34" s="381" t="s">
        <v>22</v>
      </c>
      <c r="F34" s="381" t="s">
        <v>23</v>
      </c>
      <c r="G34" s="395">
        <v>45983</v>
      </c>
      <c r="H34" s="404" t="s">
        <v>130</v>
      </c>
      <c r="I34" s="408">
        <v>25052036</v>
      </c>
      <c r="J34" s="409" t="s">
        <v>131</v>
      </c>
      <c r="K34" s="383">
        <v>71994159798</v>
      </c>
      <c r="L34" s="383">
        <v>71994159798</v>
      </c>
      <c r="M34" s="410" t="s">
        <v>73</v>
      </c>
      <c r="N34" s="394" t="s">
        <v>74</v>
      </c>
      <c r="O34" s="411" t="s">
        <v>75</v>
      </c>
      <c r="P34" s="381" t="s">
        <v>132</v>
      </c>
      <c r="Q34" s="386"/>
      <c r="R34" s="399" t="s">
        <v>133</v>
      </c>
      <c r="S34" s="412" t="s">
        <v>97</v>
      </c>
      <c r="T34" s="412"/>
      <c r="U34" s="412"/>
      <c r="V34" s="412"/>
      <c r="W34" s="412"/>
      <c r="X34" s="412"/>
      <c r="Y34" s="412"/>
      <c r="Z34" s="412"/>
      <c r="AA34" s="412"/>
      <c r="AB34" s="412"/>
      <c r="AC34" s="412"/>
      <c r="AD34" s="412"/>
      <c r="AE34" s="412"/>
      <c r="AF34" s="412"/>
      <c r="AG34" s="412"/>
      <c r="AH34" s="412"/>
      <c r="AI34" s="412"/>
      <c r="AJ34" s="412"/>
      <c r="AK34" s="412"/>
      <c r="AL34" s="412"/>
      <c r="AM34" s="412"/>
      <c r="AN34" s="412"/>
      <c r="AO34" s="412"/>
      <c r="AP34" s="412"/>
      <c r="AQ34" s="412"/>
      <c r="AR34" s="412"/>
      <c r="AS34" s="412"/>
      <c r="AT34" s="412"/>
      <c r="AU34" s="412"/>
      <c r="AV34" s="412"/>
      <c r="AW34" s="412"/>
      <c r="AX34" s="412"/>
      <c r="AY34" s="412"/>
      <c r="AZ34" s="412"/>
      <c r="BA34" s="412"/>
      <c r="BB34" s="412"/>
      <c r="BC34" s="412"/>
      <c r="BD34" s="412"/>
      <c r="BE34" s="412"/>
      <c r="BF34" s="412"/>
      <c r="BG34" s="412"/>
      <c r="BH34" s="412"/>
      <c r="BI34" s="412"/>
      <c r="BJ34" s="412"/>
      <c r="BK34" s="413"/>
    </row>
    <row r="35" spans="1:63" s="381" customFormat="1" ht="21" hidden="1" customHeight="1" x14ac:dyDescent="0.2">
      <c r="A35" s="381" t="s">
        <v>19</v>
      </c>
      <c r="B35" s="381">
        <v>101623</v>
      </c>
      <c r="C35" s="381" t="s">
        <v>20</v>
      </c>
      <c r="D35" s="382" t="s">
        <v>48</v>
      </c>
      <c r="E35" s="381" t="s">
        <v>22</v>
      </c>
      <c r="F35" s="381" t="s">
        <v>134</v>
      </c>
      <c r="G35" s="384">
        <v>45985</v>
      </c>
      <c r="H35" s="390" t="s">
        <v>135</v>
      </c>
      <c r="I35" s="393">
        <v>25007098</v>
      </c>
      <c r="J35" s="391" t="s">
        <v>136</v>
      </c>
      <c r="K35" s="381" t="s">
        <v>137</v>
      </c>
      <c r="L35" s="381" t="s">
        <v>137</v>
      </c>
      <c r="M35" s="381" t="s">
        <v>70</v>
      </c>
      <c r="P35" s="381" t="s">
        <v>97</v>
      </c>
      <c r="Q35" s="386"/>
      <c r="R35" s="382" t="s">
        <v>138</v>
      </c>
      <c r="S35" s="387" t="s">
        <v>97</v>
      </c>
      <c r="T35" s="387"/>
      <c r="U35" s="387"/>
      <c r="V35" s="387"/>
      <c r="W35" s="387"/>
      <c r="X35" s="387"/>
      <c r="Y35" s="387"/>
      <c r="Z35" s="387"/>
      <c r="AA35" s="387"/>
      <c r="AB35" s="387"/>
      <c r="AC35" s="387"/>
      <c r="AD35" s="387"/>
      <c r="AE35" s="387"/>
      <c r="AF35" s="387"/>
      <c r="AG35" s="387"/>
      <c r="AH35" s="387"/>
      <c r="AI35" s="387"/>
      <c r="AJ35" s="387"/>
      <c r="AK35" s="387"/>
      <c r="AL35" s="387"/>
      <c r="AM35" s="387"/>
      <c r="AN35" s="387"/>
      <c r="AO35" s="387"/>
      <c r="AP35" s="387"/>
      <c r="AQ35" s="387"/>
      <c r="AR35" s="387"/>
      <c r="AS35" s="387"/>
      <c r="AT35" s="387"/>
      <c r="AU35" s="387"/>
      <c r="AV35" s="387"/>
      <c r="AW35" s="387"/>
      <c r="AX35" s="387"/>
      <c r="AY35" s="387"/>
      <c r="AZ35" s="387"/>
      <c r="BA35" s="387"/>
      <c r="BB35" s="387"/>
      <c r="BC35" s="387"/>
      <c r="BD35" s="387"/>
      <c r="BE35" s="387"/>
      <c r="BF35" s="387"/>
      <c r="BG35" s="387"/>
      <c r="BH35" s="387"/>
      <c r="BI35" s="387"/>
      <c r="BJ35" s="387"/>
      <c r="BK35" s="388"/>
    </row>
    <row r="36" spans="1:63" s="381" customFormat="1" ht="21" hidden="1" customHeight="1" x14ac:dyDescent="0.2">
      <c r="A36" s="381" t="s">
        <v>19</v>
      </c>
      <c r="B36" s="381">
        <v>101624</v>
      </c>
      <c r="C36" s="381" t="s">
        <v>20</v>
      </c>
      <c r="D36" s="382" t="s">
        <v>36</v>
      </c>
      <c r="E36" s="381" t="s">
        <v>22</v>
      </c>
      <c r="F36" s="381" t="s">
        <v>23</v>
      </c>
      <c r="G36" s="384">
        <v>45986</v>
      </c>
      <c r="H36" s="385" t="s">
        <v>139</v>
      </c>
      <c r="I36" s="393">
        <v>25051876</v>
      </c>
      <c r="J36" s="407" t="s">
        <v>140</v>
      </c>
      <c r="K36" s="381" t="s">
        <v>141</v>
      </c>
      <c r="L36" s="381" t="s">
        <v>141</v>
      </c>
      <c r="M36" s="381" t="s">
        <v>70</v>
      </c>
      <c r="Q36" s="386"/>
      <c r="R36" s="382"/>
      <c r="S36" s="387"/>
      <c r="T36" s="387"/>
      <c r="U36" s="387"/>
      <c r="V36" s="387"/>
      <c r="W36" s="387"/>
      <c r="X36" s="387"/>
      <c r="Y36" s="387"/>
      <c r="Z36" s="387"/>
      <c r="AA36" s="387"/>
      <c r="AB36" s="387"/>
      <c r="AC36" s="387"/>
      <c r="AD36" s="387"/>
      <c r="AE36" s="387"/>
      <c r="AF36" s="387"/>
      <c r="AG36" s="387"/>
      <c r="AH36" s="387"/>
      <c r="AI36" s="387"/>
      <c r="AJ36" s="387"/>
      <c r="AK36" s="387"/>
      <c r="AL36" s="387"/>
      <c r="AM36" s="387"/>
      <c r="AN36" s="387"/>
      <c r="AO36" s="387"/>
      <c r="AP36" s="387"/>
      <c r="AQ36" s="387"/>
      <c r="AR36" s="387"/>
      <c r="AS36" s="387"/>
      <c r="AT36" s="387"/>
      <c r="AU36" s="387"/>
      <c r="AV36" s="387"/>
      <c r="AW36" s="387"/>
      <c r="AX36" s="387"/>
      <c r="AY36" s="387"/>
      <c r="AZ36" s="387"/>
      <c r="BA36" s="387"/>
      <c r="BB36" s="387"/>
      <c r="BC36" s="387"/>
      <c r="BD36" s="387"/>
      <c r="BE36" s="387"/>
      <c r="BF36" s="387"/>
      <c r="BG36" s="387"/>
      <c r="BH36" s="387"/>
      <c r="BI36" s="387"/>
      <c r="BJ36" s="387"/>
      <c r="BK36" s="388"/>
    </row>
    <row r="37" spans="1:63" s="381" customFormat="1" ht="21" hidden="1" customHeight="1" x14ac:dyDescent="0.2">
      <c r="A37" s="381" t="s">
        <v>19</v>
      </c>
      <c r="B37" s="381">
        <v>101626</v>
      </c>
      <c r="C37" s="381" t="s">
        <v>20</v>
      </c>
      <c r="D37" s="382" t="s">
        <v>21</v>
      </c>
      <c r="E37" s="381" t="s">
        <v>22</v>
      </c>
      <c r="F37" s="381" t="s">
        <v>23</v>
      </c>
      <c r="G37" s="384">
        <v>45986</v>
      </c>
      <c r="H37" s="385" t="s">
        <v>142</v>
      </c>
      <c r="I37" s="393">
        <v>25051015</v>
      </c>
      <c r="J37" s="407" t="s">
        <v>143</v>
      </c>
      <c r="K37" s="381" t="s">
        <v>144</v>
      </c>
      <c r="L37" s="381" t="s">
        <v>144</v>
      </c>
      <c r="M37" s="381" t="s">
        <v>70</v>
      </c>
      <c r="Q37" s="386"/>
      <c r="R37" s="382"/>
      <c r="S37" s="387"/>
      <c r="T37" s="387"/>
      <c r="U37" s="387"/>
      <c r="V37" s="387"/>
      <c r="W37" s="387"/>
      <c r="X37" s="387"/>
      <c r="Y37" s="387"/>
      <c r="Z37" s="387"/>
      <c r="AA37" s="387"/>
      <c r="AB37" s="387"/>
      <c r="AC37" s="387"/>
      <c r="AD37" s="387"/>
      <c r="AE37" s="387"/>
      <c r="AF37" s="387"/>
      <c r="AG37" s="387"/>
      <c r="AH37" s="387"/>
      <c r="AI37" s="387"/>
      <c r="AJ37" s="387"/>
      <c r="AK37" s="387"/>
      <c r="AL37" s="387"/>
      <c r="AM37" s="387"/>
      <c r="AN37" s="387"/>
      <c r="AO37" s="387"/>
      <c r="AP37" s="387"/>
      <c r="AQ37" s="387"/>
      <c r="AR37" s="387"/>
      <c r="AS37" s="387"/>
      <c r="AT37" s="387"/>
      <c r="AU37" s="387"/>
      <c r="AV37" s="387"/>
      <c r="AW37" s="387"/>
      <c r="AX37" s="387"/>
      <c r="AY37" s="387"/>
      <c r="AZ37" s="387"/>
      <c r="BA37" s="387"/>
      <c r="BB37" s="387"/>
      <c r="BC37" s="387"/>
      <c r="BD37" s="387"/>
      <c r="BE37" s="387"/>
      <c r="BF37" s="387"/>
      <c r="BG37" s="387"/>
      <c r="BH37" s="387"/>
      <c r="BI37" s="387"/>
      <c r="BJ37" s="387"/>
      <c r="BK37" s="388"/>
    </row>
    <row r="38" spans="1:63" s="381" customFormat="1" ht="21" hidden="1" customHeight="1" x14ac:dyDescent="0.2">
      <c r="A38" s="381" t="s">
        <v>19</v>
      </c>
      <c r="B38" s="381">
        <v>101623</v>
      </c>
      <c r="C38" s="381" t="s">
        <v>20</v>
      </c>
      <c r="D38" s="382" t="s">
        <v>48</v>
      </c>
      <c r="E38" s="381" t="s">
        <v>22</v>
      </c>
      <c r="F38" s="381" t="s">
        <v>23</v>
      </c>
      <c r="G38" s="384">
        <v>45986</v>
      </c>
      <c r="H38" s="385" t="s">
        <v>145</v>
      </c>
      <c r="I38" s="393">
        <v>25015310</v>
      </c>
      <c r="J38" s="407" t="s">
        <v>146</v>
      </c>
      <c r="K38" s="381" t="s">
        <v>147</v>
      </c>
      <c r="L38" s="381" t="s">
        <v>147</v>
      </c>
      <c r="M38" s="381" t="s">
        <v>70</v>
      </c>
      <c r="Q38" s="386"/>
      <c r="R38" s="382"/>
      <c r="S38" s="387"/>
      <c r="T38" s="387"/>
      <c r="U38" s="387"/>
      <c r="V38" s="387"/>
      <c r="W38" s="387"/>
      <c r="X38" s="387"/>
      <c r="Y38" s="387"/>
      <c r="Z38" s="387"/>
      <c r="AA38" s="387"/>
      <c r="AB38" s="387"/>
      <c r="AC38" s="387"/>
      <c r="AD38" s="387"/>
      <c r="AE38" s="387"/>
      <c r="AF38" s="387"/>
      <c r="AG38" s="387"/>
      <c r="AH38" s="387"/>
      <c r="AI38" s="387"/>
      <c r="AJ38" s="387"/>
      <c r="AK38" s="387"/>
      <c r="AL38" s="387"/>
      <c r="AM38" s="387"/>
      <c r="AN38" s="387"/>
      <c r="AO38" s="387"/>
      <c r="AP38" s="387"/>
      <c r="AQ38" s="387"/>
      <c r="AR38" s="387"/>
      <c r="AS38" s="387"/>
      <c r="AT38" s="387"/>
      <c r="AU38" s="387"/>
      <c r="AV38" s="387"/>
      <c r="AW38" s="387"/>
      <c r="AX38" s="387"/>
      <c r="AY38" s="387"/>
      <c r="AZ38" s="387"/>
      <c r="BA38" s="387"/>
      <c r="BB38" s="387"/>
      <c r="BC38" s="387"/>
      <c r="BD38" s="387"/>
      <c r="BE38" s="387"/>
      <c r="BF38" s="387"/>
      <c r="BG38" s="387"/>
      <c r="BH38" s="387"/>
      <c r="BI38" s="387"/>
      <c r="BJ38" s="387"/>
      <c r="BK38" s="388"/>
    </row>
    <row r="39" spans="1:63" s="381" customFormat="1" ht="21" hidden="1" customHeight="1" x14ac:dyDescent="0.2">
      <c r="A39" s="381" t="s">
        <v>19</v>
      </c>
      <c r="B39" s="381">
        <v>101624</v>
      </c>
      <c r="C39" s="381" t="s">
        <v>20</v>
      </c>
      <c r="D39" s="382" t="s">
        <v>36</v>
      </c>
      <c r="E39" s="381" t="s">
        <v>22</v>
      </c>
      <c r="F39" s="381" t="s">
        <v>23</v>
      </c>
      <c r="G39" s="384">
        <v>45986</v>
      </c>
      <c r="H39" s="385" t="s">
        <v>148</v>
      </c>
      <c r="I39" s="393">
        <v>19707612</v>
      </c>
      <c r="J39" s="407" t="s">
        <v>149</v>
      </c>
      <c r="K39" s="381" t="s">
        <v>150</v>
      </c>
      <c r="L39" s="381" t="s">
        <v>150</v>
      </c>
      <c r="M39" s="381" t="s">
        <v>70</v>
      </c>
      <c r="Q39" s="386"/>
      <c r="R39" s="382"/>
      <c r="S39" s="387"/>
      <c r="T39" s="387"/>
      <c r="U39" s="387"/>
      <c r="V39" s="387"/>
      <c r="W39" s="387"/>
      <c r="X39" s="387"/>
      <c r="Y39" s="387"/>
      <c r="Z39" s="387"/>
      <c r="AA39" s="387"/>
      <c r="AB39" s="387"/>
      <c r="AC39" s="387"/>
      <c r="AD39" s="387"/>
      <c r="AE39" s="387"/>
      <c r="AF39" s="387"/>
      <c r="AG39" s="387"/>
      <c r="AH39" s="387"/>
      <c r="AI39" s="387"/>
      <c r="AJ39" s="387"/>
      <c r="AK39" s="387"/>
      <c r="AL39" s="387"/>
      <c r="AM39" s="387"/>
      <c r="AN39" s="387"/>
      <c r="AO39" s="387"/>
      <c r="AP39" s="387"/>
      <c r="AQ39" s="387"/>
      <c r="AR39" s="387"/>
      <c r="AS39" s="387"/>
      <c r="AT39" s="387"/>
      <c r="AU39" s="387"/>
      <c r="AV39" s="387"/>
      <c r="AW39" s="387"/>
      <c r="AX39" s="387"/>
      <c r="AY39" s="387"/>
      <c r="AZ39" s="387"/>
      <c r="BA39" s="387"/>
      <c r="BB39" s="387"/>
      <c r="BC39" s="387"/>
      <c r="BD39" s="387"/>
      <c r="BE39" s="387"/>
      <c r="BF39" s="387"/>
      <c r="BG39" s="387"/>
      <c r="BH39" s="387"/>
      <c r="BI39" s="387"/>
      <c r="BJ39" s="387"/>
      <c r="BK39" s="388"/>
    </row>
    <row r="40" spans="1:63" s="381" customFormat="1" ht="21" hidden="1" customHeight="1" x14ac:dyDescent="0.2">
      <c r="A40" s="381" t="s">
        <v>19</v>
      </c>
      <c r="B40" s="381">
        <v>101624</v>
      </c>
      <c r="C40" s="381" t="s">
        <v>20</v>
      </c>
      <c r="D40" s="382" t="s">
        <v>36</v>
      </c>
      <c r="E40" s="381" t="s">
        <v>22</v>
      </c>
      <c r="F40" s="381" t="s">
        <v>23</v>
      </c>
      <c r="G40" s="384">
        <v>45983</v>
      </c>
      <c r="H40" s="390" t="s">
        <v>151</v>
      </c>
      <c r="I40" s="393">
        <v>25050222</v>
      </c>
      <c r="J40" s="381" t="s">
        <v>152</v>
      </c>
      <c r="K40" s="381">
        <v>71998014240</v>
      </c>
      <c r="L40" s="381">
        <v>74998014240</v>
      </c>
      <c r="M40" s="381" t="s">
        <v>70</v>
      </c>
      <c r="Q40" s="386"/>
      <c r="R40" s="382"/>
      <c r="S40" s="387"/>
      <c r="T40" s="387"/>
      <c r="U40" s="387"/>
      <c r="V40" s="387"/>
      <c r="W40" s="387"/>
      <c r="X40" s="387"/>
      <c r="Y40" s="387"/>
      <c r="Z40" s="387"/>
      <c r="AA40" s="387"/>
      <c r="AB40" s="387"/>
      <c r="AC40" s="387"/>
      <c r="AD40" s="387"/>
      <c r="AE40" s="387"/>
      <c r="AF40" s="387"/>
      <c r="AG40" s="387"/>
      <c r="AH40" s="387"/>
      <c r="AI40" s="387"/>
      <c r="AJ40" s="387"/>
      <c r="AK40" s="387"/>
      <c r="AL40" s="387"/>
      <c r="AM40" s="387"/>
      <c r="AN40" s="387"/>
      <c r="AO40" s="387"/>
      <c r="AP40" s="387"/>
      <c r="AQ40" s="387"/>
      <c r="AR40" s="387"/>
      <c r="AS40" s="387"/>
      <c r="AT40" s="387"/>
      <c r="AU40" s="387"/>
      <c r="AV40" s="387"/>
      <c r="AW40" s="387"/>
      <c r="AX40" s="387"/>
      <c r="AY40" s="387"/>
      <c r="AZ40" s="387"/>
      <c r="BA40" s="387"/>
      <c r="BB40" s="387"/>
      <c r="BC40" s="387"/>
      <c r="BD40" s="387"/>
      <c r="BE40" s="387"/>
      <c r="BF40" s="387"/>
      <c r="BG40" s="387"/>
      <c r="BH40" s="387"/>
      <c r="BI40" s="387"/>
      <c r="BJ40" s="387"/>
      <c r="BK40" s="388"/>
    </row>
    <row r="41" spans="1:63" s="381" customFormat="1" ht="21" hidden="1" customHeight="1" x14ac:dyDescent="0.2">
      <c r="A41" s="415" t="s">
        <v>19</v>
      </c>
      <c r="B41" s="415">
        <v>101624</v>
      </c>
      <c r="C41" s="415" t="s">
        <v>20</v>
      </c>
      <c r="D41" s="416" t="s">
        <v>36</v>
      </c>
      <c r="E41" s="415" t="s">
        <v>22</v>
      </c>
      <c r="F41" s="415" t="s">
        <v>23</v>
      </c>
      <c r="G41" s="417">
        <v>45978</v>
      </c>
      <c r="H41" s="385" t="s">
        <v>153</v>
      </c>
      <c r="I41" s="418">
        <v>25050669</v>
      </c>
      <c r="J41" s="415" t="s">
        <v>154</v>
      </c>
      <c r="K41" s="415">
        <v>71993406019</v>
      </c>
      <c r="L41" s="415">
        <v>71993406019</v>
      </c>
      <c r="M41" s="381" t="s">
        <v>70</v>
      </c>
      <c r="Q41" s="386"/>
      <c r="R41" s="382"/>
      <c r="S41" s="387"/>
      <c r="T41" s="387"/>
      <c r="U41" s="387"/>
      <c r="V41" s="387"/>
      <c r="W41" s="387"/>
      <c r="X41" s="387"/>
      <c r="Y41" s="387"/>
      <c r="Z41" s="387"/>
      <c r="AA41" s="387"/>
      <c r="AB41" s="387"/>
      <c r="AC41" s="387"/>
      <c r="AD41" s="387"/>
      <c r="AE41" s="387"/>
      <c r="AF41" s="387"/>
      <c r="AG41" s="387"/>
      <c r="AH41" s="387"/>
      <c r="AI41" s="387"/>
      <c r="AJ41" s="387"/>
      <c r="AK41" s="387"/>
      <c r="AL41" s="387"/>
      <c r="AM41" s="387"/>
      <c r="AN41" s="387"/>
      <c r="AO41" s="387"/>
      <c r="AP41" s="387"/>
      <c r="AQ41" s="387"/>
      <c r="AR41" s="387"/>
      <c r="AS41" s="387"/>
      <c r="AT41" s="387"/>
      <c r="AU41" s="387"/>
      <c r="AV41" s="387"/>
      <c r="AW41" s="387"/>
      <c r="AX41" s="387"/>
      <c r="AY41" s="387"/>
      <c r="AZ41" s="387"/>
      <c r="BA41" s="387"/>
      <c r="BB41" s="387"/>
      <c r="BC41" s="387"/>
      <c r="BD41" s="387"/>
      <c r="BE41" s="387"/>
      <c r="BF41" s="387"/>
      <c r="BG41" s="387"/>
      <c r="BH41" s="387"/>
      <c r="BI41" s="387"/>
      <c r="BJ41" s="387"/>
      <c r="BK41" s="388"/>
    </row>
    <row r="42" spans="1:63" s="381" customFormat="1" ht="30.75" hidden="1" customHeight="1" x14ac:dyDescent="0.2">
      <c r="A42" s="383" t="s">
        <v>19</v>
      </c>
      <c r="B42" s="383">
        <v>101623</v>
      </c>
      <c r="C42" s="389" t="s">
        <v>20</v>
      </c>
      <c r="D42" s="382" t="s">
        <v>48</v>
      </c>
      <c r="E42" s="381" t="s">
        <v>22</v>
      </c>
      <c r="F42" s="381" t="s">
        <v>23</v>
      </c>
      <c r="G42" s="395">
        <v>45985</v>
      </c>
      <c r="H42" s="404" t="s">
        <v>155</v>
      </c>
      <c r="I42" s="408">
        <v>25052250</v>
      </c>
      <c r="J42" s="409" t="s">
        <v>156</v>
      </c>
      <c r="K42" s="383">
        <v>71993215554</v>
      </c>
      <c r="L42" s="383">
        <v>71993215554</v>
      </c>
      <c r="M42" s="410" t="s">
        <v>73</v>
      </c>
      <c r="N42" s="394" t="s">
        <v>157</v>
      </c>
      <c r="O42" s="411" t="s">
        <v>75</v>
      </c>
      <c r="P42" s="381" t="s">
        <v>128</v>
      </c>
      <c r="Q42" s="386"/>
      <c r="R42" s="419" t="s">
        <v>158</v>
      </c>
      <c r="S42" s="387" t="s">
        <v>97</v>
      </c>
      <c r="T42" s="387"/>
      <c r="U42" s="387"/>
      <c r="V42" s="387"/>
      <c r="W42" s="387"/>
      <c r="X42" s="387"/>
      <c r="Y42" s="387"/>
      <c r="Z42" s="387"/>
      <c r="AA42" s="387"/>
      <c r="AB42" s="387"/>
      <c r="AC42" s="387"/>
      <c r="AD42" s="387"/>
      <c r="AE42" s="387"/>
      <c r="AF42" s="387"/>
      <c r="AG42" s="387"/>
      <c r="AH42" s="387"/>
      <c r="AI42" s="387"/>
      <c r="AJ42" s="387"/>
      <c r="AK42" s="387"/>
      <c r="AL42" s="387"/>
      <c r="AM42" s="387"/>
      <c r="AN42" s="387"/>
      <c r="AO42" s="387"/>
      <c r="AP42" s="387"/>
      <c r="AQ42" s="387"/>
      <c r="AR42" s="387"/>
      <c r="AS42" s="387"/>
      <c r="AT42" s="387"/>
      <c r="AU42" s="387"/>
      <c r="AV42" s="387"/>
      <c r="AW42" s="387"/>
      <c r="AX42" s="387"/>
      <c r="AY42" s="387"/>
      <c r="AZ42" s="387"/>
      <c r="BA42" s="387"/>
      <c r="BB42" s="387"/>
      <c r="BC42" s="387"/>
      <c r="BD42" s="387"/>
      <c r="BE42" s="387"/>
      <c r="BF42" s="387"/>
      <c r="BG42" s="387"/>
      <c r="BH42" s="387"/>
      <c r="BI42" s="387"/>
      <c r="BJ42" s="387"/>
      <c r="BK42" s="388"/>
    </row>
    <row r="43" spans="1:63" s="381" customFormat="1" ht="21" hidden="1" customHeight="1" x14ac:dyDescent="0.2">
      <c r="A43" s="381" t="s">
        <v>19</v>
      </c>
      <c r="B43" s="381">
        <v>101624</v>
      </c>
      <c r="C43" s="381" t="s">
        <v>20</v>
      </c>
      <c r="D43" s="382" t="s">
        <v>36</v>
      </c>
      <c r="E43" s="381" t="s">
        <v>22</v>
      </c>
      <c r="F43" s="381" t="s">
        <v>23</v>
      </c>
      <c r="G43" s="384">
        <v>45986</v>
      </c>
      <c r="H43" s="390" t="s">
        <v>159</v>
      </c>
      <c r="I43" s="393">
        <v>25052479</v>
      </c>
      <c r="J43" s="381" t="s">
        <v>160</v>
      </c>
      <c r="K43" s="381">
        <v>71994180197</v>
      </c>
      <c r="L43" s="381">
        <v>71994180197</v>
      </c>
      <c r="Q43" s="386"/>
      <c r="R43" s="382"/>
      <c r="S43" s="387"/>
      <c r="T43" s="387"/>
      <c r="U43" s="387"/>
      <c r="V43" s="387"/>
      <c r="W43" s="387"/>
      <c r="X43" s="387"/>
      <c r="Y43" s="387"/>
      <c r="Z43" s="387"/>
      <c r="AA43" s="387"/>
      <c r="AB43" s="387"/>
      <c r="AC43" s="387"/>
      <c r="AD43" s="387"/>
      <c r="AE43" s="387"/>
      <c r="AF43" s="387"/>
      <c r="AG43" s="387"/>
      <c r="AH43" s="387"/>
      <c r="AI43" s="387"/>
      <c r="AJ43" s="387"/>
      <c r="AK43" s="387"/>
      <c r="AL43" s="387"/>
      <c r="AM43" s="387"/>
      <c r="AN43" s="387"/>
      <c r="AO43" s="387"/>
      <c r="AP43" s="387"/>
      <c r="AQ43" s="387"/>
      <c r="AR43" s="387"/>
      <c r="AS43" s="387"/>
      <c r="AT43" s="387"/>
      <c r="AU43" s="387"/>
      <c r="AV43" s="387"/>
      <c r="AW43" s="387"/>
      <c r="AX43" s="387"/>
      <c r="AY43" s="387"/>
      <c r="AZ43" s="387"/>
      <c r="BA43" s="387"/>
      <c r="BB43" s="387"/>
      <c r="BC43" s="387"/>
      <c r="BD43" s="387"/>
      <c r="BE43" s="387"/>
      <c r="BF43" s="387"/>
      <c r="BG43" s="387"/>
      <c r="BH43" s="387"/>
      <c r="BI43" s="387"/>
      <c r="BJ43" s="387"/>
      <c r="BK43" s="388"/>
    </row>
    <row r="44" spans="1:63" s="402" customFormat="1" ht="21" hidden="1" customHeight="1" x14ac:dyDescent="0.2">
      <c r="A44" s="415" t="s">
        <v>19</v>
      </c>
      <c r="B44" s="415">
        <v>101626</v>
      </c>
      <c r="C44" s="415" t="s">
        <v>20</v>
      </c>
      <c r="D44" s="416" t="s">
        <v>21</v>
      </c>
      <c r="E44" s="415" t="s">
        <v>22</v>
      </c>
      <c r="F44" s="415" t="s">
        <v>23</v>
      </c>
      <c r="G44" s="417">
        <v>45986</v>
      </c>
      <c r="H44" s="385" t="s">
        <v>161</v>
      </c>
      <c r="I44" s="418">
        <v>21859404</v>
      </c>
      <c r="J44" s="415" t="s">
        <v>162</v>
      </c>
      <c r="K44" s="415">
        <v>71984761912</v>
      </c>
      <c r="L44" s="415">
        <v>71984761912</v>
      </c>
      <c r="M44" s="415" t="s">
        <v>70</v>
      </c>
      <c r="Q44" s="405"/>
      <c r="R44" s="420"/>
      <c r="S44" s="400"/>
      <c r="T44" s="400"/>
      <c r="U44" s="400"/>
      <c r="V44" s="400"/>
      <c r="W44" s="400"/>
      <c r="X44" s="400"/>
      <c r="Y44" s="400"/>
      <c r="Z44" s="400"/>
      <c r="AA44" s="400"/>
      <c r="AB44" s="400"/>
      <c r="AC44" s="400"/>
      <c r="AD44" s="400"/>
      <c r="AE44" s="400"/>
      <c r="AF44" s="400"/>
      <c r="AG44" s="400"/>
      <c r="AH44" s="400"/>
      <c r="AI44" s="400"/>
      <c r="AJ44" s="400"/>
      <c r="AK44" s="400"/>
      <c r="AL44" s="400"/>
      <c r="AM44" s="400"/>
      <c r="AN44" s="400"/>
      <c r="AO44" s="400"/>
      <c r="AP44" s="400"/>
      <c r="AQ44" s="400"/>
      <c r="AR44" s="400"/>
      <c r="AS44" s="400"/>
      <c r="AT44" s="400"/>
      <c r="AU44" s="400"/>
      <c r="AV44" s="400"/>
      <c r="AW44" s="400"/>
      <c r="AX44" s="400"/>
      <c r="AY44" s="400"/>
      <c r="AZ44" s="400"/>
      <c r="BA44" s="400"/>
      <c r="BB44" s="400"/>
      <c r="BC44" s="400"/>
      <c r="BD44" s="400"/>
      <c r="BE44" s="400"/>
      <c r="BF44" s="400"/>
      <c r="BG44" s="400"/>
      <c r="BH44" s="400"/>
      <c r="BI44" s="400"/>
      <c r="BJ44" s="400"/>
      <c r="BK44" s="401"/>
    </row>
    <row r="45" spans="1:63" s="381" customFormat="1" ht="21" hidden="1" customHeight="1" x14ac:dyDescent="0.2">
      <c r="A45" s="381" t="s">
        <v>19</v>
      </c>
      <c r="B45" s="381">
        <v>101624</v>
      </c>
      <c r="C45" s="381" t="s">
        <v>20</v>
      </c>
      <c r="D45" s="382" t="s">
        <v>36</v>
      </c>
      <c r="E45" s="381" t="s">
        <v>22</v>
      </c>
      <c r="F45" s="381" t="s">
        <v>23</v>
      </c>
      <c r="G45" s="384">
        <v>45986</v>
      </c>
      <c r="H45" s="390" t="s">
        <v>163</v>
      </c>
      <c r="I45" s="393">
        <v>25052596</v>
      </c>
      <c r="J45" s="381" t="s">
        <v>164</v>
      </c>
      <c r="K45" s="381">
        <v>71981705814</v>
      </c>
      <c r="L45" s="381">
        <v>71981705814</v>
      </c>
      <c r="O45" s="381" t="s">
        <v>165</v>
      </c>
      <c r="Q45" s="386"/>
      <c r="R45" s="382" t="s">
        <v>166</v>
      </c>
      <c r="S45" s="387"/>
      <c r="T45" s="387"/>
      <c r="U45" s="387"/>
      <c r="V45" s="387"/>
      <c r="W45" s="387"/>
      <c r="X45" s="387"/>
      <c r="Y45" s="387"/>
      <c r="Z45" s="387"/>
      <c r="AA45" s="387"/>
      <c r="AB45" s="387"/>
      <c r="AC45" s="387"/>
      <c r="AD45" s="387"/>
      <c r="AE45" s="387"/>
      <c r="AF45" s="387"/>
      <c r="AG45" s="387"/>
      <c r="AH45" s="387"/>
      <c r="AI45" s="387"/>
      <c r="AJ45" s="387"/>
      <c r="AK45" s="387"/>
      <c r="AL45" s="387"/>
      <c r="AM45" s="387"/>
      <c r="AN45" s="387"/>
      <c r="AO45" s="387"/>
      <c r="AP45" s="387"/>
      <c r="AQ45" s="387"/>
      <c r="AR45" s="387"/>
      <c r="AS45" s="387"/>
      <c r="AT45" s="387"/>
      <c r="AU45" s="387"/>
      <c r="AV45" s="387"/>
      <c r="AW45" s="387"/>
      <c r="AX45" s="387"/>
      <c r="AY45" s="387"/>
      <c r="AZ45" s="387"/>
      <c r="BA45" s="387"/>
      <c r="BB45" s="387"/>
      <c r="BC45" s="387"/>
      <c r="BD45" s="387"/>
      <c r="BE45" s="387"/>
      <c r="BF45" s="387"/>
      <c r="BG45" s="387"/>
      <c r="BH45" s="387"/>
      <c r="BI45" s="387"/>
      <c r="BJ45" s="387"/>
      <c r="BK45" s="388"/>
    </row>
    <row r="46" spans="1:63" s="402" customFormat="1" ht="21" hidden="1" customHeight="1" x14ac:dyDescent="0.2">
      <c r="A46" s="415" t="s">
        <v>19</v>
      </c>
      <c r="B46" s="415">
        <v>101630</v>
      </c>
      <c r="C46" s="415" t="s">
        <v>20</v>
      </c>
      <c r="D46" s="416" t="s">
        <v>40</v>
      </c>
      <c r="E46" s="415" t="s">
        <v>22</v>
      </c>
      <c r="F46" s="415" t="s">
        <v>23</v>
      </c>
      <c r="G46" s="417">
        <v>45980</v>
      </c>
      <c r="H46" s="385" t="s">
        <v>167</v>
      </c>
      <c r="I46" s="418">
        <v>25051542</v>
      </c>
      <c r="J46" s="415" t="s">
        <v>168</v>
      </c>
      <c r="K46" s="415">
        <v>71986315557</v>
      </c>
      <c r="L46" s="415">
        <v>71986315557</v>
      </c>
      <c r="Q46" s="405"/>
      <c r="R46" s="420"/>
      <c r="S46" s="400"/>
      <c r="T46" s="400"/>
      <c r="U46" s="400"/>
      <c r="V46" s="400"/>
      <c r="W46" s="400"/>
      <c r="X46" s="400"/>
      <c r="Y46" s="400"/>
      <c r="Z46" s="400"/>
      <c r="AA46" s="400"/>
      <c r="AB46" s="400"/>
      <c r="AC46" s="400"/>
      <c r="AD46" s="400"/>
      <c r="AE46" s="400"/>
      <c r="AF46" s="400"/>
      <c r="AG46" s="400"/>
      <c r="AH46" s="400"/>
      <c r="AI46" s="400"/>
      <c r="AJ46" s="400"/>
      <c r="AK46" s="400"/>
      <c r="AL46" s="400"/>
      <c r="AM46" s="400"/>
      <c r="AN46" s="400"/>
      <c r="AO46" s="400"/>
      <c r="AP46" s="400"/>
      <c r="AQ46" s="400"/>
      <c r="AR46" s="400"/>
      <c r="AS46" s="400"/>
      <c r="AT46" s="400"/>
      <c r="AU46" s="400"/>
      <c r="AV46" s="400"/>
      <c r="AW46" s="400"/>
      <c r="AX46" s="400"/>
      <c r="AY46" s="400"/>
      <c r="AZ46" s="400"/>
      <c r="BA46" s="400"/>
      <c r="BB46" s="400"/>
      <c r="BC46" s="400"/>
      <c r="BD46" s="400"/>
      <c r="BE46" s="400"/>
      <c r="BF46" s="400"/>
      <c r="BG46" s="400"/>
      <c r="BH46" s="400"/>
      <c r="BI46" s="400"/>
      <c r="BJ46" s="400"/>
      <c r="BK46" s="401"/>
    </row>
    <row r="47" spans="1:63" s="402" customFormat="1" ht="23.25" hidden="1" customHeight="1" x14ac:dyDescent="0.2">
      <c r="A47" s="415" t="s">
        <v>19</v>
      </c>
      <c r="B47" s="415">
        <v>101623</v>
      </c>
      <c r="C47" s="415" t="s">
        <v>20</v>
      </c>
      <c r="D47" s="416" t="s">
        <v>48</v>
      </c>
      <c r="E47" s="415" t="s">
        <v>22</v>
      </c>
      <c r="F47" s="415" t="s">
        <v>23</v>
      </c>
      <c r="G47" s="417">
        <v>45986</v>
      </c>
      <c r="H47" s="385" t="s">
        <v>169</v>
      </c>
      <c r="I47" s="418">
        <v>19713126</v>
      </c>
      <c r="J47" s="415" t="s">
        <v>170</v>
      </c>
      <c r="K47" s="415">
        <v>71999868297</v>
      </c>
      <c r="L47" s="415">
        <v>71999868297</v>
      </c>
      <c r="Q47" s="405"/>
      <c r="R47" s="420"/>
      <c r="S47" s="400"/>
      <c r="T47" s="400"/>
      <c r="U47" s="400"/>
      <c r="V47" s="400"/>
      <c r="W47" s="400"/>
      <c r="X47" s="400"/>
      <c r="Y47" s="400"/>
      <c r="Z47" s="400"/>
      <c r="AA47" s="400"/>
      <c r="AB47" s="400"/>
      <c r="AC47" s="400"/>
      <c r="AD47" s="400"/>
      <c r="AE47" s="400"/>
      <c r="AF47" s="400"/>
      <c r="AG47" s="400"/>
      <c r="AH47" s="400"/>
      <c r="AI47" s="400"/>
      <c r="AJ47" s="400"/>
      <c r="AK47" s="400"/>
      <c r="AL47" s="400"/>
      <c r="AM47" s="400"/>
      <c r="AN47" s="400"/>
      <c r="AO47" s="400"/>
      <c r="AP47" s="400"/>
      <c r="AQ47" s="400"/>
      <c r="AR47" s="400"/>
      <c r="AS47" s="400"/>
      <c r="AT47" s="400"/>
      <c r="AU47" s="400"/>
      <c r="AV47" s="400"/>
      <c r="AW47" s="400"/>
      <c r="AX47" s="400"/>
      <c r="AY47" s="400"/>
      <c r="AZ47" s="400"/>
      <c r="BA47" s="400"/>
      <c r="BB47" s="400"/>
      <c r="BC47" s="400"/>
      <c r="BD47" s="400"/>
      <c r="BE47" s="400"/>
      <c r="BF47" s="400"/>
      <c r="BG47" s="400"/>
      <c r="BH47" s="400"/>
      <c r="BI47" s="400"/>
      <c r="BJ47" s="400"/>
      <c r="BK47" s="401"/>
    </row>
    <row r="48" spans="1:63" s="402" customFormat="1" ht="29.45" hidden="1" customHeight="1" x14ac:dyDescent="0.2">
      <c r="A48" s="381" t="s">
        <v>19</v>
      </c>
      <c r="B48" s="381">
        <v>101627</v>
      </c>
      <c r="C48" s="382" t="s">
        <v>20</v>
      </c>
      <c r="D48" s="382" t="s">
        <v>44</v>
      </c>
      <c r="E48" s="381" t="s">
        <v>22</v>
      </c>
      <c r="F48" s="381" t="s">
        <v>23</v>
      </c>
      <c r="G48" s="395">
        <v>45986</v>
      </c>
      <c r="H48" s="404" t="s">
        <v>171</v>
      </c>
      <c r="I48" s="393">
        <v>14456186</v>
      </c>
      <c r="J48" s="396" t="s">
        <v>172</v>
      </c>
      <c r="K48" s="381">
        <v>71982690626</v>
      </c>
      <c r="L48" s="381">
        <v>71982690626</v>
      </c>
      <c r="M48" s="397" t="s">
        <v>73</v>
      </c>
      <c r="N48" s="398" t="s">
        <v>52</v>
      </c>
      <c r="O48" s="421" t="s">
        <v>75</v>
      </c>
      <c r="P48" s="381"/>
      <c r="Q48" s="386"/>
      <c r="R48" s="399" t="s">
        <v>173</v>
      </c>
      <c r="S48" s="400"/>
      <c r="T48" s="400"/>
      <c r="U48" s="400"/>
      <c r="V48" s="400"/>
      <c r="W48" s="400"/>
      <c r="X48" s="400"/>
      <c r="Y48" s="400"/>
      <c r="Z48" s="400"/>
      <c r="AA48" s="400"/>
      <c r="AB48" s="400"/>
      <c r="AC48" s="400"/>
      <c r="AD48" s="400"/>
      <c r="AE48" s="400"/>
      <c r="AF48" s="400"/>
      <c r="AG48" s="400"/>
      <c r="AH48" s="400"/>
      <c r="AI48" s="400"/>
      <c r="AJ48" s="400"/>
      <c r="AK48" s="400"/>
      <c r="AL48" s="400"/>
      <c r="AM48" s="400"/>
      <c r="AN48" s="400"/>
      <c r="AO48" s="400"/>
      <c r="AP48" s="400"/>
      <c r="AQ48" s="400"/>
      <c r="AR48" s="400"/>
      <c r="AS48" s="400"/>
      <c r="AT48" s="400"/>
      <c r="AU48" s="400"/>
      <c r="AV48" s="400"/>
      <c r="AW48" s="400"/>
      <c r="AX48" s="400"/>
      <c r="AY48" s="400"/>
      <c r="AZ48" s="400"/>
      <c r="BA48" s="400"/>
      <c r="BB48" s="400"/>
      <c r="BC48" s="400"/>
      <c r="BD48" s="400"/>
      <c r="BE48" s="400"/>
      <c r="BF48" s="400"/>
      <c r="BG48" s="400"/>
      <c r="BH48" s="400"/>
      <c r="BI48" s="400"/>
      <c r="BJ48" s="400"/>
      <c r="BK48" s="401"/>
    </row>
    <row r="49" spans="1:63" s="381" customFormat="1" ht="33.75" hidden="1" customHeight="1" x14ac:dyDescent="0.2">
      <c r="A49" s="383" t="s">
        <v>174</v>
      </c>
      <c r="B49" s="383">
        <v>101623</v>
      </c>
      <c r="C49" s="389" t="s">
        <v>175</v>
      </c>
      <c r="D49" s="382" t="s">
        <v>48</v>
      </c>
      <c r="E49" s="381" t="s">
        <v>22</v>
      </c>
      <c r="F49" s="381" t="s">
        <v>23</v>
      </c>
      <c r="G49" s="395">
        <v>45980</v>
      </c>
      <c r="H49" s="404" t="s">
        <v>176</v>
      </c>
      <c r="I49" s="408">
        <v>25051126</v>
      </c>
      <c r="J49" s="409" t="s">
        <v>177</v>
      </c>
      <c r="K49" s="383">
        <v>71993783720</v>
      </c>
      <c r="L49" s="383">
        <v>71993783720</v>
      </c>
      <c r="M49" s="410" t="s">
        <v>73</v>
      </c>
      <c r="N49" s="394" t="s">
        <v>74</v>
      </c>
      <c r="O49" s="411" t="s">
        <v>75</v>
      </c>
      <c r="Q49" s="386"/>
      <c r="R49" s="422" t="s">
        <v>178</v>
      </c>
      <c r="S49" s="387"/>
      <c r="T49" s="387"/>
      <c r="U49" s="387"/>
      <c r="V49" s="387"/>
      <c r="W49" s="387"/>
      <c r="X49" s="387"/>
      <c r="Y49" s="387"/>
      <c r="Z49" s="387"/>
      <c r="AA49" s="387"/>
      <c r="AB49" s="387"/>
      <c r="AC49" s="387"/>
      <c r="AD49" s="387"/>
      <c r="AE49" s="387"/>
      <c r="AF49" s="387"/>
      <c r="AG49" s="387"/>
      <c r="AH49" s="387"/>
      <c r="AI49" s="387"/>
      <c r="AJ49" s="387"/>
      <c r="AK49" s="387"/>
      <c r="AL49" s="387"/>
      <c r="AM49" s="387"/>
      <c r="AN49" s="387"/>
      <c r="AO49" s="387"/>
      <c r="AP49" s="387"/>
      <c r="AQ49" s="387"/>
      <c r="AR49" s="387"/>
      <c r="AS49" s="387"/>
      <c r="AT49" s="387"/>
      <c r="AU49" s="387"/>
      <c r="AV49" s="387"/>
      <c r="AW49" s="387"/>
      <c r="AX49" s="387"/>
      <c r="AY49" s="387"/>
      <c r="AZ49" s="387"/>
      <c r="BA49" s="387"/>
      <c r="BB49" s="387"/>
      <c r="BC49" s="387"/>
      <c r="BD49" s="387"/>
      <c r="BE49" s="387"/>
      <c r="BF49" s="387"/>
      <c r="BG49" s="387"/>
      <c r="BH49" s="387"/>
      <c r="BI49" s="387"/>
      <c r="BJ49" s="387"/>
      <c r="BK49" s="388"/>
    </row>
    <row r="50" spans="1:63" s="381" customFormat="1" ht="30" hidden="1" customHeight="1" x14ac:dyDescent="0.2">
      <c r="A50" s="383" t="s">
        <v>174</v>
      </c>
      <c r="B50" s="383">
        <v>101623</v>
      </c>
      <c r="C50" s="383" t="s">
        <v>20</v>
      </c>
      <c r="D50" s="389" t="s">
        <v>48</v>
      </c>
      <c r="E50" s="381" t="s">
        <v>22</v>
      </c>
      <c r="F50" s="381" t="s">
        <v>23</v>
      </c>
      <c r="G50" s="395">
        <v>45978</v>
      </c>
      <c r="H50" s="383" t="s">
        <v>179</v>
      </c>
      <c r="I50" s="404" t="s">
        <v>180</v>
      </c>
      <c r="J50" s="409" t="s">
        <v>181</v>
      </c>
      <c r="K50" s="383">
        <v>71983870951</v>
      </c>
      <c r="L50" s="383">
        <v>71983870951</v>
      </c>
      <c r="M50" s="410" t="s">
        <v>182</v>
      </c>
      <c r="N50" s="394" t="s">
        <v>157</v>
      </c>
      <c r="O50" s="411" t="s">
        <v>75</v>
      </c>
      <c r="Q50" s="386"/>
      <c r="R50" s="389" t="s">
        <v>183</v>
      </c>
      <c r="S50" s="387"/>
      <c r="T50" s="387"/>
      <c r="U50" s="387"/>
      <c r="V50" s="387"/>
      <c r="W50" s="387"/>
      <c r="X50" s="387"/>
      <c r="Y50" s="387"/>
      <c r="Z50" s="387"/>
      <c r="AA50" s="387"/>
      <c r="AB50" s="387"/>
      <c r="AC50" s="387"/>
      <c r="AD50" s="387"/>
      <c r="AE50" s="387"/>
      <c r="AF50" s="387"/>
      <c r="AG50" s="387"/>
      <c r="AH50" s="387"/>
      <c r="AI50" s="387"/>
      <c r="AJ50" s="387"/>
      <c r="AK50" s="387"/>
      <c r="AL50" s="387"/>
      <c r="AM50" s="387"/>
      <c r="AN50" s="387"/>
      <c r="AO50" s="387"/>
      <c r="AP50" s="387"/>
      <c r="AQ50" s="387"/>
      <c r="AR50" s="387"/>
      <c r="AS50" s="387"/>
      <c r="AT50" s="387"/>
      <c r="AU50" s="387"/>
      <c r="AV50" s="387"/>
      <c r="AW50" s="387"/>
      <c r="AX50" s="387"/>
      <c r="AY50" s="387"/>
      <c r="AZ50" s="387"/>
      <c r="BA50" s="387"/>
      <c r="BB50" s="387"/>
      <c r="BC50" s="387"/>
      <c r="BD50" s="387"/>
      <c r="BE50" s="387"/>
      <c r="BF50" s="387"/>
      <c r="BG50" s="387"/>
      <c r="BH50" s="387"/>
      <c r="BI50" s="387"/>
      <c r="BJ50" s="387"/>
      <c r="BK50" s="388"/>
    </row>
    <row r="51" spans="1:63" s="381" customFormat="1" ht="21" hidden="1" customHeight="1" x14ac:dyDescent="0.2">
      <c r="A51" s="415" t="s">
        <v>19</v>
      </c>
      <c r="B51" s="381">
        <v>101627</v>
      </c>
      <c r="C51" s="415" t="s">
        <v>20</v>
      </c>
      <c r="D51" s="382" t="s">
        <v>44</v>
      </c>
      <c r="E51" s="415" t="s">
        <v>22</v>
      </c>
      <c r="F51" s="415" t="s">
        <v>23</v>
      </c>
      <c r="G51" s="384">
        <v>45987</v>
      </c>
      <c r="H51" s="385" t="s">
        <v>184</v>
      </c>
      <c r="I51" s="393">
        <v>232976704</v>
      </c>
      <c r="J51" s="407" t="s">
        <v>185</v>
      </c>
      <c r="K51" s="381" t="s">
        <v>186</v>
      </c>
      <c r="L51" s="381" t="s">
        <v>186</v>
      </c>
      <c r="M51" s="381" t="s">
        <v>70</v>
      </c>
      <c r="Q51" s="386"/>
      <c r="R51" s="382"/>
      <c r="S51" s="387"/>
      <c r="T51" s="387"/>
      <c r="U51" s="387"/>
      <c r="V51" s="387"/>
      <c r="W51" s="387"/>
      <c r="X51" s="387"/>
      <c r="Y51" s="387"/>
      <c r="Z51" s="387"/>
      <c r="AA51" s="387"/>
      <c r="AB51" s="387"/>
      <c r="AC51" s="387"/>
      <c r="AD51" s="387"/>
      <c r="AE51" s="387"/>
      <c r="AF51" s="387"/>
      <c r="AG51" s="387"/>
      <c r="AH51" s="387"/>
      <c r="AI51" s="387"/>
      <c r="AJ51" s="387"/>
      <c r="AK51" s="387"/>
      <c r="AL51" s="387"/>
      <c r="AM51" s="387"/>
      <c r="AN51" s="387"/>
      <c r="AO51" s="387"/>
      <c r="AP51" s="387"/>
      <c r="AQ51" s="387"/>
      <c r="AR51" s="387"/>
      <c r="AS51" s="387"/>
      <c r="AT51" s="387"/>
      <c r="AU51" s="387"/>
      <c r="AV51" s="387"/>
      <c r="AW51" s="387"/>
      <c r="AX51" s="387"/>
      <c r="AY51" s="387"/>
      <c r="AZ51" s="387"/>
      <c r="BA51" s="387"/>
      <c r="BB51" s="387"/>
      <c r="BC51" s="387"/>
      <c r="BD51" s="387"/>
      <c r="BE51" s="387"/>
      <c r="BF51" s="387"/>
      <c r="BG51" s="387"/>
      <c r="BH51" s="387"/>
      <c r="BI51" s="387"/>
      <c r="BJ51" s="387"/>
      <c r="BK51" s="388"/>
    </row>
    <row r="52" spans="1:63" s="381" customFormat="1" ht="21" hidden="1" customHeight="1" x14ac:dyDescent="0.2">
      <c r="A52" s="381" t="s">
        <v>19</v>
      </c>
      <c r="B52" s="381">
        <v>101625</v>
      </c>
      <c r="C52" s="381" t="s">
        <v>20</v>
      </c>
      <c r="D52" s="382" t="s">
        <v>187</v>
      </c>
      <c r="E52" s="381" t="s">
        <v>22</v>
      </c>
      <c r="F52" s="381" t="s">
        <v>23</v>
      </c>
      <c r="G52" s="384">
        <v>45979</v>
      </c>
      <c r="H52" s="390" t="s">
        <v>188</v>
      </c>
      <c r="I52" s="393">
        <v>21813377</v>
      </c>
      <c r="J52" s="381" t="s">
        <v>189</v>
      </c>
      <c r="K52" s="381">
        <v>71991502200</v>
      </c>
      <c r="L52" s="381">
        <v>71991502200</v>
      </c>
      <c r="Q52" s="386"/>
      <c r="R52" s="382"/>
      <c r="S52" s="387"/>
      <c r="T52" s="387"/>
      <c r="U52" s="387"/>
      <c r="V52" s="387"/>
      <c r="W52" s="387"/>
      <c r="X52" s="387"/>
      <c r="Y52" s="387"/>
      <c r="Z52" s="387"/>
      <c r="AA52" s="387"/>
      <c r="AB52" s="387"/>
      <c r="AC52" s="387"/>
      <c r="AD52" s="387"/>
      <c r="AE52" s="387"/>
      <c r="AF52" s="387"/>
      <c r="AG52" s="387"/>
      <c r="AH52" s="387"/>
      <c r="AI52" s="387"/>
      <c r="AJ52" s="387"/>
      <c r="AK52" s="387"/>
      <c r="AL52" s="387"/>
      <c r="AM52" s="387"/>
      <c r="AN52" s="387"/>
      <c r="AO52" s="387"/>
      <c r="AP52" s="387"/>
      <c r="AQ52" s="387"/>
      <c r="AR52" s="387"/>
      <c r="AS52" s="387"/>
      <c r="AT52" s="387"/>
      <c r="AU52" s="387"/>
      <c r="AV52" s="387"/>
      <c r="AW52" s="387"/>
      <c r="AX52" s="387"/>
      <c r="AY52" s="387"/>
      <c r="AZ52" s="387"/>
      <c r="BA52" s="387"/>
      <c r="BB52" s="387"/>
      <c r="BC52" s="387"/>
      <c r="BD52" s="387"/>
      <c r="BE52" s="387"/>
      <c r="BF52" s="387"/>
      <c r="BG52" s="387"/>
      <c r="BH52" s="387"/>
      <c r="BI52" s="387"/>
      <c r="BJ52" s="387"/>
      <c r="BK52" s="388"/>
    </row>
    <row r="53" spans="1:63" s="381" customFormat="1" ht="21" hidden="1" customHeight="1" x14ac:dyDescent="0.2">
      <c r="A53" s="381" t="s">
        <v>19</v>
      </c>
      <c r="B53" s="381">
        <v>101624</v>
      </c>
      <c r="C53" s="381" t="s">
        <v>20</v>
      </c>
      <c r="D53" s="382" t="s">
        <v>36</v>
      </c>
      <c r="E53" s="381" t="s">
        <v>22</v>
      </c>
      <c r="F53" s="381" t="s">
        <v>23</v>
      </c>
      <c r="G53" s="384">
        <v>45981</v>
      </c>
      <c r="H53" s="390" t="s">
        <v>190</v>
      </c>
      <c r="I53" s="393">
        <v>25051590</v>
      </c>
      <c r="J53" s="381" t="s">
        <v>191</v>
      </c>
      <c r="K53" s="381">
        <v>71999655339</v>
      </c>
      <c r="L53" s="381">
        <v>71999655339</v>
      </c>
      <c r="Q53" s="386"/>
      <c r="R53" s="382"/>
      <c r="S53" s="387"/>
      <c r="T53" s="387"/>
      <c r="U53" s="387"/>
      <c r="V53" s="387"/>
      <c r="W53" s="387"/>
      <c r="X53" s="387"/>
      <c r="Y53" s="387"/>
      <c r="Z53" s="387"/>
      <c r="AA53" s="387"/>
      <c r="AB53" s="387"/>
      <c r="AC53" s="387"/>
      <c r="AD53" s="387"/>
      <c r="AE53" s="387"/>
      <c r="AF53" s="387"/>
      <c r="AG53" s="387"/>
      <c r="AH53" s="387"/>
      <c r="AI53" s="387"/>
      <c r="AJ53" s="387"/>
      <c r="AK53" s="387"/>
      <c r="AL53" s="387"/>
      <c r="AM53" s="387"/>
      <c r="AN53" s="387"/>
      <c r="AO53" s="387"/>
      <c r="AP53" s="387"/>
      <c r="AQ53" s="387"/>
      <c r="AR53" s="387"/>
      <c r="AS53" s="387"/>
      <c r="AT53" s="387"/>
      <c r="AU53" s="387"/>
      <c r="AV53" s="387"/>
      <c r="AW53" s="387"/>
      <c r="AX53" s="387"/>
      <c r="AY53" s="387"/>
      <c r="AZ53" s="387"/>
      <c r="BA53" s="387"/>
      <c r="BB53" s="387"/>
      <c r="BC53" s="387"/>
      <c r="BD53" s="387"/>
      <c r="BE53" s="387"/>
      <c r="BF53" s="387"/>
      <c r="BG53" s="387"/>
      <c r="BH53" s="387"/>
      <c r="BI53" s="387"/>
      <c r="BJ53" s="387"/>
      <c r="BK53" s="388"/>
    </row>
    <row r="54" spans="1:63" s="381" customFormat="1" ht="21" hidden="1" customHeight="1" x14ac:dyDescent="0.2">
      <c r="A54" s="381" t="s">
        <v>19</v>
      </c>
      <c r="B54" s="381">
        <v>101623</v>
      </c>
      <c r="C54" s="381" t="s">
        <v>20</v>
      </c>
      <c r="D54" s="382" t="s">
        <v>48</v>
      </c>
      <c r="E54" s="381" t="s">
        <v>22</v>
      </c>
      <c r="F54" s="381" t="s">
        <v>23</v>
      </c>
      <c r="G54" s="384">
        <v>45986</v>
      </c>
      <c r="H54" s="390" t="s">
        <v>192</v>
      </c>
      <c r="I54" s="393">
        <v>25052625</v>
      </c>
      <c r="J54" s="381" t="s">
        <v>193</v>
      </c>
      <c r="K54" s="381">
        <v>71991034019</v>
      </c>
      <c r="L54" s="381">
        <v>71991034019</v>
      </c>
      <c r="Q54" s="386"/>
      <c r="R54" s="382"/>
      <c r="S54" s="387"/>
      <c r="T54" s="387"/>
      <c r="U54" s="387"/>
      <c r="V54" s="387"/>
      <c r="W54" s="387"/>
      <c r="X54" s="387"/>
      <c r="Y54" s="387"/>
      <c r="Z54" s="387"/>
      <c r="AA54" s="387"/>
      <c r="AB54" s="387"/>
      <c r="AC54" s="387"/>
      <c r="AD54" s="387"/>
      <c r="AE54" s="387"/>
      <c r="AF54" s="387"/>
      <c r="AG54" s="387"/>
      <c r="AH54" s="387"/>
      <c r="AI54" s="387"/>
      <c r="AJ54" s="387"/>
      <c r="AK54" s="387"/>
      <c r="AL54" s="387"/>
      <c r="AM54" s="387"/>
      <c r="AN54" s="387"/>
      <c r="AO54" s="387"/>
      <c r="AP54" s="387"/>
      <c r="AQ54" s="387"/>
      <c r="AR54" s="387"/>
      <c r="AS54" s="387"/>
      <c r="AT54" s="387"/>
      <c r="AU54" s="387"/>
      <c r="AV54" s="387"/>
      <c r="AW54" s="387"/>
      <c r="AX54" s="387"/>
      <c r="AY54" s="387"/>
      <c r="AZ54" s="387"/>
      <c r="BA54" s="387"/>
      <c r="BB54" s="387"/>
      <c r="BC54" s="387"/>
      <c r="BD54" s="387"/>
      <c r="BE54" s="387"/>
      <c r="BF54" s="387"/>
      <c r="BG54" s="387"/>
      <c r="BH54" s="387"/>
      <c r="BI54" s="387"/>
      <c r="BJ54" s="387"/>
      <c r="BK54" s="388"/>
    </row>
    <row r="55" spans="1:63" s="381" customFormat="1" ht="21" hidden="1" customHeight="1" x14ac:dyDescent="0.2">
      <c r="A55" s="381" t="s">
        <v>19</v>
      </c>
      <c r="B55" s="381">
        <v>101623</v>
      </c>
      <c r="C55" s="381" t="s">
        <v>20</v>
      </c>
      <c r="D55" s="382" t="s">
        <v>48</v>
      </c>
      <c r="E55" s="381" t="s">
        <v>22</v>
      </c>
      <c r="F55" s="381" t="s">
        <v>23</v>
      </c>
      <c r="G55" s="384">
        <v>45987</v>
      </c>
      <c r="H55" s="390" t="s">
        <v>194</v>
      </c>
      <c r="I55" s="393">
        <v>25052642</v>
      </c>
      <c r="J55" s="381" t="s">
        <v>195</v>
      </c>
      <c r="K55" s="381">
        <v>71983306871</v>
      </c>
      <c r="L55" s="381">
        <v>71983306871</v>
      </c>
      <c r="Q55" s="386"/>
      <c r="R55" s="382"/>
      <c r="S55" s="387"/>
      <c r="T55" s="387"/>
      <c r="U55" s="387"/>
      <c r="V55" s="387"/>
      <c r="W55" s="387"/>
      <c r="X55" s="387"/>
      <c r="Y55" s="387"/>
      <c r="Z55" s="387"/>
      <c r="AA55" s="387"/>
      <c r="AB55" s="387"/>
      <c r="AC55" s="387"/>
      <c r="AD55" s="387"/>
      <c r="AE55" s="387"/>
      <c r="AF55" s="387"/>
      <c r="AG55" s="387"/>
      <c r="AH55" s="387"/>
      <c r="AI55" s="387"/>
      <c r="AJ55" s="387"/>
      <c r="AK55" s="387"/>
      <c r="AL55" s="387"/>
      <c r="AM55" s="387"/>
      <c r="AN55" s="387"/>
      <c r="AO55" s="387"/>
      <c r="AP55" s="387"/>
      <c r="AQ55" s="387"/>
      <c r="AR55" s="387"/>
      <c r="AS55" s="387"/>
      <c r="AT55" s="387"/>
      <c r="AU55" s="387"/>
      <c r="AV55" s="387"/>
      <c r="AW55" s="387"/>
      <c r="AX55" s="387"/>
      <c r="AY55" s="387"/>
      <c r="AZ55" s="387"/>
      <c r="BA55" s="387"/>
      <c r="BB55" s="387"/>
      <c r="BC55" s="387"/>
      <c r="BD55" s="387"/>
      <c r="BE55" s="387"/>
      <c r="BF55" s="387"/>
      <c r="BG55" s="387"/>
      <c r="BH55" s="387"/>
      <c r="BI55" s="387"/>
      <c r="BJ55" s="387"/>
      <c r="BK55" s="388"/>
    </row>
    <row r="56" spans="1:63" s="381" customFormat="1" ht="21" hidden="1" customHeight="1" x14ac:dyDescent="0.2">
      <c r="A56" s="381" t="s">
        <v>19</v>
      </c>
      <c r="B56" s="381">
        <v>101623</v>
      </c>
      <c r="C56" s="381" t="s">
        <v>20</v>
      </c>
      <c r="D56" s="382" t="s">
        <v>48</v>
      </c>
      <c r="E56" s="381" t="s">
        <v>22</v>
      </c>
      <c r="F56" s="381" t="s">
        <v>23</v>
      </c>
      <c r="G56" s="384">
        <v>45988</v>
      </c>
      <c r="H56" s="390" t="s">
        <v>196</v>
      </c>
      <c r="I56" s="393">
        <v>25052865</v>
      </c>
      <c r="J56" s="381" t="s">
        <v>197</v>
      </c>
      <c r="K56" s="381">
        <v>71999051394</v>
      </c>
      <c r="L56" s="381">
        <v>71999051394</v>
      </c>
      <c r="Q56" s="386"/>
      <c r="R56" s="382"/>
      <c r="S56" s="387"/>
      <c r="T56" s="387"/>
      <c r="U56" s="387"/>
      <c r="V56" s="387"/>
      <c r="W56" s="387"/>
      <c r="X56" s="387"/>
      <c r="Y56" s="387"/>
      <c r="Z56" s="387"/>
      <c r="AA56" s="387"/>
      <c r="AB56" s="387"/>
      <c r="AC56" s="387"/>
      <c r="AD56" s="387"/>
      <c r="AE56" s="387"/>
      <c r="AF56" s="387"/>
      <c r="AG56" s="387"/>
      <c r="AH56" s="387"/>
      <c r="AI56" s="387"/>
      <c r="AJ56" s="387"/>
      <c r="AK56" s="387"/>
      <c r="AL56" s="387"/>
      <c r="AM56" s="387"/>
      <c r="AN56" s="387"/>
      <c r="AO56" s="387"/>
      <c r="AP56" s="387"/>
      <c r="AQ56" s="387"/>
      <c r="AR56" s="387"/>
      <c r="AS56" s="387"/>
      <c r="AT56" s="387"/>
      <c r="AU56" s="387"/>
      <c r="AV56" s="387"/>
      <c r="AW56" s="387"/>
      <c r="AX56" s="387"/>
      <c r="AY56" s="387"/>
      <c r="AZ56" s="387"/>
      <c r="BA56" s="387"/>
      <c r="BB56" s="387"/>
      <c r="BC56" s="387"/>
      <c r="BD56" s="387"/>
      <c r="BE56" s="387"/>
      <c r="BF56" s="387"/>
      <c r="BG56" s="387"/>
      <c r="BH56" s="387"/>
      <c r="BI56" s="387"/>
      <c r="BJ56" s="387"/>
      <c r="BK56" s="388"/>
    </row>
    <row r="57" spans="1:63" s="381" customFormat="1" ht="21" hidden="1" customHeight="1" x14ac:dyDescent="0.2">
      <c r="A57" s="381" t="s">
        <v>19</v>
      </c>
      <c r="B57" s="381">
        <v>101630</v>
      </c>
      <c r="C57" s="381" t="s">
        <v>20</v>
      </c>
      <c r="D57" s="382" t="s">
        <v>40</v>
      </c>
      <c r="E57" s="381" t="s">
        <v>22</v>
      </c>
      <c r="F57" s="381" t="s">
        <v>23</v>
      </c>
      <c r="G57" s="384">
        <v>45988</v>
      </c>
      <c r="H57" s="390" t="s">
        <v>198</v>
      </c>
      <c r="I57" s="393">
        <v>81002748</v>
      </c>
      <c r="J57" s="381" t="s">
        <v>199</v>
      </c>
      <c r="K57" s="381">
        <v>71992732699</v>
      </c>
      <c r="L57" s="381">
        <v>71992732699</v>
      </c>
      <c r="Q57" s="386"/>
      <c r="R57" s="382"/>
      <c r="S57" s="387"/>
      <c r="T57" s="387"/>
      <c r="U57" s="387"/>
      <c r="V57" s="387"/>
      <c r="W57" s="387"/>
      <c r="X57" s="387"/>
      <c r="Y57" s="387"/>
      <c r="Z57" s="387"/>
      <c r="AA57" s="387"/>
      <c r="AB57" s="387"/>
      <c r="AC57" s="387"/>
      <c r="AD57" s="387"/>
      <c r="AE57" s="387"/>
      <c r="AF57" s="387"/>
      <c r="AG57" s="387"/>
      <c r="AH57" s="387"/>
      <c r="AI57" s="387"/>
      <c r="AJ57" s="387"/>
      <c r="AK57" s="387"/>
      <c r="AL57" s="387"/>
      <c r="AM57" s="387"/>
      <c r="AN57" s="387"/>
      <c r="AO57" s="387"/>
      <c r="AP57" s="387"/>
      <c r="AQ57" s="387"/>
      <c r="AR57" s="387"/>
      <c r="AS57" s="387"/>
      <c r="AT57" s="387"/>
      <c r="AU57" s="387"/>
      <c r="AV57" s="387"/>
      <c r="AW57" s="387"/>
      <c r="AX57" s="387"/>
      <c r="AY57" s="387"/>
      <c r="AZ57" s="387"/>
      <c r="BA57" s="387"/>
      <c r="BB57" s="387"/>
      <c r="BC57" s="387"/>
      <c r="BD57" s="387"/>
      <c r="BE57" s="387"/>
      <c r="BF57" s="387"/>
      <c r="BG57" s="387"/>
      <c r="BH57" s="387"/>
      <c r="BI57" s="387"/>
      <c r="BJ57" s="387"/>
      <c r="BK57" s="388"/>
    </row>
    <row r="58" spans="1:63" s="381" customFormat="1" ht="21" hidden="1" customHeight="1" x14ac:dyDescent="0.2">
      <c r="A58" s="381" t="s">
        <v>19</v>
      </c>
      <c r="B58" s="381">
        <v>101624</v>
      </c>
      <c r="C58" s="381" t="s">
        <v>20</v>
      </c>
      <c r="D58" s="382" t="s">
        <v>36</v>
      </c>
      <c r="E58" s="381" t="s">
        <v>22</v>
      </c>
      <c r="F58" s="381" t="s">
        <v>23</v>
      </c>
      <c r="G58" s="384">
        <v>45989</v>
      </c>
      <c r="H58" s="390" t="s">
        <v>200</v>
      </c>
      <c r="I58" s="393">
        <v>12256271</v>
      </c>
      <c r="J58" s="381" t="s">
        <v>201</v>
      </c>
      <c r="K58" s="381">
        <v>71985121939</v>
      </c>
      <c r="L58" s="381">
        <v>71985121939</v>
      </c>
      <c r="Q58" s="386"/>
      <c r="R58" s="382"/>
      <c r="S58" s="387"/>
      <c r="T58" s="387"/>
      <c r="U58" s="387"/>
      <c r="V58" s="387"/>
      <c r="W58" s="387"/>
      <c r="X58" s="387"/>
      <c r="Y58" s="387"/>
      <c r="Z58" s="387"/>
      <c r="AA58" s="387"/>
      <c r="AB58" s="387"/>
      <c r="AC58" s="387"/>
      <c r="AD58" s="387"/>
      <c r="AE58" s="387"/>
      <c r="AF58" s="387"/>
      <c r="AG58" s="387"/>
      <c r="AH58" s="387"/>
      <c r="AI58" s="387"/>
      <c r="AJ58" s="387"/>
      <c r="AK58" s="387"/>
      <c r="AL58" s="387"/>
      <c r="AM58" s="387"/>
      <c r="AN58" s="387"/>
      <c r="AO58" s="387"/>
      <c r="AP58" s="387"/>
      <c r="AQ58" s="387"/>
      <c r="AR58" s="387"/>
      <c r="AS58" s="387"/>
      <c r="AT58" s="387"/>
      <c r="AU58" s="387"/>
      <c r="AV58" s="387"/>
      <c r="AW58" s="387"/>
      <c r="AX58" s="387"/>
      <c r="AY58" s="387"/>
      <c r="AZ58" s="387"/>
      <c r="BA58" s="387"/>
      <c r="BB58" s="387"/>
      <c r="BC58" s="387"/>
      <c r="BD58" s="387"/>
      <c r="BE58" s="387"/>
      <c r="BF58" s="387"/>
      <c r="BG58" s="387"/>
      <c r="BH58" s="387"/>
      <c r="BI58" s="387"/>
      <c r="BJ58" s="387"/>
      <c r="BK58" s="388"/>
    </row>
    <row r="59" spans="1:63" s="381" customFormat="1" ht="21" hidden="1" customHeight="1" x14ac:dyDescent="0.2">
      <c r="A59" s="381" t="s">
        <v>19</v>
      </c>
      <c r="B59" s="381">
        <v>101630</v>
      </c>
      <c r="C59" s="381" t="s">
        <v>20</v>
      </c>
      <c r="D59" s="382" t="s">
        <v>40</v>
      </c>
      <c r="E59" s="381" t="s">
        <v>22</v>
      </c>
      <c r="F59" s="381" t="s">
        <v>23</v>
      </c>
      <c r="G59" s="384">
        <v>45989</v>
      </c>
      <c r="H59" s="390" t="s">
        <v>202</v>
      </c>
      <c r="I59" s="393">
        <v>21833663</v>
      </c>
      <c r="J59" s="381" t="s">
        <v>203</v>
      </c>
      <c r="K59" s="381">
        <v>71982905494</v>
      </c>
      <c r="L59" s="381">
        <v>71982905494</v>
      </c>
      <c r="Q59" s="386"/>
      <c r="R59" s="382"/>
      <c r="S59" s="387"/>
      <c r="T59" s="387"/>
      <c r="U59" s="387"/>
      <c r="V59" s="387"/>
      <c r="W59" s="387"/>
      <c r="X59" s="387"/>
      <c r="Y59" s="387"/>
      <c r="Z59" s="387"/>
      <c r="AA59" s="387"/>
      <c r="AB59" s="387"/>
      <c r="AC59" s="387"/>
      <c r="AD59" s="387"/>
      <c r="AE59" s="387"/>
      <c r="AF59" s="387"/>
      <c r="AG59" s="387"/>
      <c r="AH59" s="387"/>
      <c r="AI59" s="387"/>
      <c r="AJ59" s="387"/>
      <c r="AK59" s="387"/>
      <c r="AL59" s="387"/>
      <c r="AM59" s="387"/>
      <c r="AN59" s="387"/>
      <c r="AO59" s="387"/>
      <c r="AP59" s="387"/>
      <c r="AQ59" s="387"/>
      <c r="AR59" s="387"/>
      <c r="AS59" s="387"/>
      <c r="AT59" s="387"/>
      <c r="AU59" s="387"/>
      <c r="AV59" s="387"/>
      <c r="AW59" s="387"/>
      <c r="AX59" s="387"/>
      <c r="AY59" s="387"/>
      <c r="AZ59" s="387"/>
      <c r="BA59" s="387"/>
      <c r="BB59" s="387"/>
      <c r="BC59" s="387"/>
      <c r="BD59" s="387"/>
      <c r="BE59" s="387"/>
      <c r="BF59" s="387"/>
      <c r="BG59" s="387"/>
      <c r="BH59" s="387"/>
      <c r="BI59" s="387"/>
      <c r="BJ59" s="387"/>
      <c r="BK59" s="388"/>
    </row>
    <row r="60" spans="1:63" s="381" customFormat="1" ht="21" hidden="1" customHeight="1" x14ac:dyDescent="0.2">
      <c r="A60" s="381" t="s">
        <v>19</v>
      </c>
      <c r="B60" s="381">
        <v>101630</v>
      </c>
      <c r="C60" s="381" t="s">
        <v>20</v>
      </c>
      <c r="D60" s="382" t="s">
        <v>40</v>
      </c>
      <c r="E60" s="381" t="s">
        <v>22</v>
      </c>
      <c r="F60" s="381" t="s">
        <v>23</v>
      </c>
      <c r="G60" s="384">
        <v>45989</v>
      </c>
      <c r="H60" s="390" t="s">
        <v>204</v>
      </c>
      <c r="I60" s="393">
        <v>162643777</v>
      </c>
      <c r="J60" s="381" t="s">
        <v>205</v>
      </c>
      <c r="K60" s="381">
        <v>71991681103</v>
      </c>
      <c r="L60" s="381">
        <v>71991681103</v>
      </c>
      <c r="Q60" s="386"/>
      <c r="R60" s="382"/>
      <c r="S60" s="387"/>
      <c r="T60" s="387"/>
      <c r="U60" s="387"/>
      <c r="V60" s="387"/>
      <c r="W60" s="387"/>
      <c r="X60" s="387"/>
      <c r="Y60" s="387"/>
      <c r="Z60" s="387"/>
      <c r="AA60" s="387"/>
      <c r="AB60" s="387"/>
      <c r="AC60" s="387"/>
      <c r="AD60" s="387"/>
      <c r="AE60" s="387"/>
      <c r="AF60" s="387"/>
      <c r="AG60" s="387"/>
      <c r="AH60" s="387"/>
      <c r="AI60" s="387"/>
      <c r="AJ60" s="387"/>
      <c r="AK60" s="387"/>
      <c r="AL60" s="387"/>
      <c r="AM60" s="387"/>
      <c r="AN60" s="387"/>
      <c r="AO60" s="387"/>
      <c r="AP60" s="387"/>
      <c r="AQ60" s="387"/>
      <c r="AR60" s="387"/>
      <c r="AS60" s="387"/>
      <c r="AT60" s="387"/>
      <c r="AU60" s="387"/>
      <c r="AV60" s="387"/>
      <c r="AW60" s="387"/>
      <c r="AX60" s="387"/>
      <c r="AY60" s="387"/>
      <c r="AZ60" s="387"/>
      <c r="BA60" s="387"/>
      <c r="BB60" s="387"/>
      <c r="BC60" s="387"/>
      <c r="BD60" s="387"/>
      <c r="BE60" s="387"/>
      <c r="BF60" s="387"/>
      <c r="BG60" s="387"/>
      <c r="BH60" s="387"/>
      <c r="BI60" s="387"/>
      <c r="BJ60" s="387"/>
      <c r="BK60" s="388"/>
    </row>
    <row r="61" spans="1:63" s="381" customFormat="1" ht="21" hidden="1" customHeight="1" x14ac:dyDescent="0.2">
      <c r="A61" s="381" t="s">
        <v>19</v>
      </c>
      <c r="B61" s="381">
        <v>101624</v>
      </c>
      <c r="C61" s="381" t="s">
        <v>20</v>
      </c>
      <c r="D61" s="382" t="s">
        <v>36</v>
      </c>
      <c r="E61" s="381" t="s">
        <v>22</v>
      </c>
      <c r="F61" s="381" t="s">
        <v>23</v>
      </c>
      <c r="G61" s="384">
        <v>45989</v>
      </c>
      <c r="H61" s="390" t="s">
        <v>206</v>
      </c>
      <c r="I61" s="393">
        <v>181700305</v>
      </c>
      <c r="J61" s="381" t="s">
        <v>207</v>
      </c>
      <c r="K61" s="381">
        <v>71985158027</v>
      </c>
      <c r="L61" s="381">
        <v>71985158027</v>
      </c>
      <c r="Q61" s="386"/>
      <c r="R61" s="382"/>
      <c r="S61" s="387"/>
      <c r="T61" s="387"/>
      <c r="U61" s="387"/>
      <c r="V61" s="387"/>
      <c r="W61" s="387"/>
      <c r="X61" s="387"/>
      <c r="Y61" s="387"/>
      <c r="Z61" s="387"/>
      <c r="AA61" s="387"/>
      <c r="AB61" s="387"/>
      <c r="AC61" s="387"/>
      <c r="AD61" s="387"/>
      <c r="AE61" s="387"/>
      <c r="AF61" s="387"/>
      <c r="AG61" s="387"/>
      <c r="AH61" s="387"/>
      <c r="AI61" s="387"/>
      <c r="AJ61" s="387"/>
      <c r="AK61" s="387"/>
      <c r="AL61" s="387"/>
      <c r="AM61" s="387"/>
      <c r="AN61" s="387"/>
      <c r="AO61" s="387"/>
      <c r="AP61" s="387"/>
      <c r="AQ61" s="387"/>
      <c r="AR61" s="387"/>
      <c r="AS61" s="387"/>
      <c r="AT61" s="387"/>
      <c r="AU61" s="387"/>
      <c r="AV61" s="387"/>
      <c r="AW61" s="387"/>
      <c r="AX61" s="387"/>
      <c r="AY61" s="387"/>
      <c r="AZ61" s="387"/>
      <c r="BA61" s="387"/>
      <c r="BB61" s="387"/>
      <c r="BC61" s="387"/>
      <c r="BD61" s="387"/>
      <c r="BE61" s="387"/>
      <c r="BF61" s="387"/>
      <c r="BG61" s="387"/>
      <c r="BH61" s="387"/>
      <c r="BI61" s="387"/>
      <c r="BJ61" s="387"/>
      <c r="BK61" s="388"/>
    </row>
    <row r="62" spans="1:63" s="402" customFormat="1" ht="21" hidden="1" customHeight="1" x14ac:dyDescent="0.2">
      <c r="A62" s="381" t="s">
        <v>19</v>
      </c>
      <c r="B62" s="381">
        <v>101624</v>
      </c>
      <c r="C62" s="382" t="s">
        <v>20</v>
      </c>
      <c r="D62" s="382" t="s">
        <v>36</v>
      </c>
      <c r="E62" s="381" t="s">
        <v>22</v>
      </c>
      <c r="F62" s="381" t="s">
        <v>23</v>
      </c>
      <c r="G62" s="384">
        <v>45979</v>
      </c>
      <c r="H62" s="390" t="s">
        <v>208</v>
      </c>
      <c r="I62" s="393">
        <v>162562664</v>
      </c>
      <c r="J62" s="381" t="s">
        <v>209</v>
      </c>
      <c r="K62" s="381">
        <v>71984673153</v>
      </c>
      <c r="L62" s="381">
        <v>71984673153</v>
      </c>
      <c r="M62" s="381" t="s">
        <v>70</v>
      </c>
      <c r="O62" s="420"/>
      <c r="Q62" s="405"/>
      <c r="R62" s="423"/>
      <c r="S62" s="400"/>
      <c r="T62" s="400"/>
      <c r="U62" s="400"/>
      <c r="V62" s="400"/>
      <c r="W62" s="400"/>
      <c r="X62" s="400"/>
      <c r="Y62" s="400"/>
      <c r="Z62" s="400"/>
      <c r="AA62" s="400"/>
      <c r="AB62" s="400"/>
      <c r="AC62" s="400"/>
      <c r="AD62" s="400"/>
      <c r="AE62" s="400"/>
      <c r="AF62" s="400"/>
      <c r="AG62" s="400"/>
      <c r="AH62" s="400"/>
      <c r="AI62" s="400"/>
      <c r="AJ62" s="400"/>
      <c r="AK62" s="400"/>
      <c r="AL62" s="400"/>
      <c r="AM62" s="400"/>
      <c r="AN62" s="400"/>
      <c r="AO62" s="400"/>
      <c r="AP62" s="400"/>
      <c r="AQ62" s="400"/>
      <c r="AR62" s="400"/>
      <c r="AS62" s="400"/>
      <c r="AT62" s="400"/>
      <c r="AU62" s="400"/>
      <c r="AV62" s="400"/>
      <c r="AW62" s="400"/>
      <c r="AX62" s="400"/>
      <c r="AY62" s="400"/>
      <c r="AZ62" s="400"/>
      <c r="BA62" s="400"/>
      <c r="BB62" s="400"/>
      <c r="BC62" s="400"/>
      <c r="BD62" s="400"/>
      <c r="BE62" s="400"/>
      <c r="BF62" s="400"/>
      <c r="BG62" s="400"/>
      <c r="BH62" s="400"/>
      <c r="BI62" s="400"/>
      <c r="BJ62" s="400"/>
      <c r="BK62" s="401"/>
    </row>
    <row r="63" spans="1:63" s="402" customFormat="1" ht="21" hidden="1" customHeight="1" x14ac:dyDescent="0.2">
      <c r="A63" s="381" t="s">
        <v>19</v>
      </c>
      <c r="B63" s="381">
        <v>101624</v>
      </c>
      <c r="C63" s="382" t="s">
        <v>20</v>
      </c>
      <c r="D63" s="382" t="s">
        <v>36</v>
      </c>
      <c r="E63" s="381" t="s">
        <v>22</v>
      </c>
      <c r="F63" s="381" t="s">
        <v>23</v>
      </c>
      <c r="G63" s="384">
        <v>45985</v>
      </c>
      <c r="H63" s="390" t="s">
        <v>210</v>
      </c>
      <c r="I63" s="393">
        <v>25052310</v>
      </c>
      <c r="J63" s="381" t="s">
        <v>211</v>
      </c>
      <c r="K63" s="381">
        <v>71986158652</v>
      </c>
      <c r="L63" s="381">
        <v>71986158652</v>
      </c>
      <c r="M63" s="381" t="s">
        <v>73</v>
      </c>
      <c r="O63" s="420"/>
      <c r="Q63" s="405"/>
      <c r="R63" s="423"/>
      <c r="S63" s="400"/>
      <c r="T63" s="400"/>
      <c r="U63" s="400"/>
      <c r="V63" s="400"/>
      <c r="W63" s="400"/>
      <c r="X63" s="400"/>
      <c r="Y63" s="400"/>
      <c r="Z63" s="400"/>
      <c r="AA63" s="400"/>
      <c r="AB63" s="400"/>
      <c r="AC63" s="400"/>
      <c r="AD63" s="400"/>
      <c r="AE63" s="400"/>
      <c r="AF63" s="400"/>
      <c r="AG63" s="400"/>
      <c r="AH63" s="400"/>
      <c r="AI63" s="400"/>
      <c r="AJ63" s="400"/>
      <c r="AK63" s="400"/>
      <c r="AL63" s="400"/>
      <c r="AM63" s="400"/>
      <c r="AN63" s="400"/>
      <c r="AO63" s="400"/>
      <c r="AP63" s="400"/>
      <c r="AQ63" s="400"/>
      <c r="AR63" s="400"/>
      <c r="AS63" s="400"/>
      <c r="AT63" s="400"/>
      <c r="AU63" s="400"/>
      <c r="AV63" s="400"/>
      <c r="AW63" s="400"/>
      <c r="AX63" s="400"/>
      <c r="AY63" s="400"/>
      <c r="AZ63" s="400"/>
      <c r="BA63" s="400"/>
      <c r="BB63" s="400"/>
      <c r="BC63" s="400"/>
      <c r="BD63" s="400"/>
      <c r="BE63" s="400"/>
      <c r="BF63" s="400"/>
      <c r="BG63" s="400"/>
      <c r="BH63" s="400"/>
      <c r="BI63" s="400"/>
      <c r="BJ63" s="400"/>
      <c r="BK63" s="401"/>
    </row>
    <row r="64" spans="1:63" s="402" customFormat="1" ht="21" hidden="1" customHeight="1" x14ac:dyDescent="0.2">
      <c r="A64" s="381" t="s">
        <v>19</v>
      </c>
      <c r="B64" s="381">
        <v>101624</v>
      </c>
      <c r="C64" s="382" t="s">
        <v>20</v>
      </c>
      <c r="D64" s="382" t="s">
        <v>36</v>
      </c>
      <c r="E64" s="381" t="s">
        <v>22</v>
      </c>
      <c r="F64" s="381" t="s">
        <v>23</v>
      </c>
      <c r="G64" s="384">
        <v>45979</v>
      </c>
      <c r="H64" s="390" t="s">
        <v>212</v>
      </c>
      <c r="I64" s="393">
        <v>25051055</v>
      </c>
      <c r="J64" s="381" t="s">
        <v>213</v>
      </c>
      <c r="K64" s="381">
        <v>71996205743</v>
      </c>
      <c r="L64" s="381">
        <v>71996205743</v>
      </c>
      <c r="M64" s="381" t="s">
        <v>70</v>
      </c>
      <c r="O64" s="420"/>
      <c r="Q64" s="405"/>
      <c r="R64" s="423"/>
      <c r="S64" s="400"/>
      <c r="T64" s="400"/>
      <c r="U64" s="400"/>
      <c r="V64" s="400"/>
      <c r="W64" s="400"/>
      <c r="X64" s="400"/>
      <c r="Y64" s="400"/>
      <c r="Z64" s="400"/>
      <c r="AA64" s="400"/>
      <c r="AB64" s="400"/>
      <c r="AC64" s="400"/>
      <c r="AD64" s="400"/>
      <c r="AE64" s="400"/>
      <c r="AF64" s="400"/>
      <c r="AG64" s="400"/>
      <c r="AH64" s="400"/>
      <c r="AI64" s="400"/>
      <c r="AJ64" s="400"/>
      <c r="AK64" s="400"/>
      <c r="AL64" s="400"/>
      <c r="AM64" s="400"/>
      <c r="AN64" s="400"/>
      <c r="AO64" s="400"/>
      <c r="AP64" s="400"/>
      <c r="AQ64" s="400"/>
      <c r="AR64" s="400"/>
      <c r="AS64" s="400"/>
      <c r="AT64" s="400"/>
      <c r="AU64" s="400"/>
      <c r="AV64" s="400"/>
      <c r="AW64" s="400"/>
      <c r="AX64" s="400"/>
      <c r="AY64" s="400"/>
      <c r="AZ64" s="400"/>
      <c r="BA64" s="400"/>
      <c r="BB64" s="400"/>
      <c r="BC64" s="400"/>
      <c r="BD64" s="400"/>
      <c r="BE64" s="400"/>
      <c r="BF64" s="400"/>
      <c r="BG64" s="400"/>
      <c r="BH64" s="400"/>
      <c r="BI64" s="400"/>
      <c r="BJ64" s="400"/>
      <c r="BK64" s="401"/>
    </row>
    <row r="65" spans="1:63" s="381" customFormat="1" ht="21" hidden="1" customHeight="1" x14ac:dyDescent="0.2">
      <c r="A65" s="381" t="s">
        <v>19</v>
      </c>
      <c r="B65" s="383">
        <v>101624</v>
      </c>
      <c r="C65" s="382" t="s">
        <v>20</v>
      </c>
      <c r="D65" s="382" t="s">
        <v>36</v>
      </c>
      <c r="E65" s="381" t="s">
        <v>22</v>
      </c>
      <c r="F65" s="381" t="s">
        <v>23</v>
      </c>
      <c r="G65" s="395">
        <v>45980</v>
      </c>
      <c r="H65" s="404" t="s">
        <v>214</v>
      </c>
      <c r="I65" s="393">
        <v>13368585</v>
      </c>
      <c r="J65" s="396" t="s">
        <v>215</v>
      </c>
      <c r="K65" s="381">
        <v>71992739330</v>
      </c>
      <c r="L65" s="381">
        <v>71992739330</v>
      </c>
      <c r="M65" s="397" t="s">
        <v>73</v>
      </c>
      <c r="N65" s="398" t="s">
        <v>157</v>
      </c>
      <c r="O65" s="421" t="s">
        <v>75</v>
      </c>
      <c r="Q65" s="386"/>
      <c r="R65" s="389" t="s">
        <v>216</v>
      </c>
      <c r="S65" s="387"/>
      <c r="T65" s="387"/>
      <c r="U65" s="387"/>
      <c r="V65" s="387"/>
      <c r="W65" s="387"/>
      <c r="X65" s="387"/>
      <c r="Y65" s="387"/>
      <c r="Z65" s="387"/>
      <c r="AA65" s="387"/>
      <c r="AB65" s="387"/>
      <c r="AC65" s="387"/>
      <c r="AD65" s="387"/>
      <c r="AE65" s="387"/>
      <c r="AF65" s="387"/>
      <c r="AG65" s="387"/>
      <c r="AH65" s="387"/>
      <c r="AI65" s="387"/>
      <c r="AJ65" s="387"/>
      <c r="AK65" s="387"/>
      <c r="AL65" s="387"/>
      <c r="AM65" s="387"/>
      <c r="AN65" s="387"/>
      <c r="AO65" s="387"/>
      <c r="AP65" s="387"/>
      <c r="AQ65" s="387"/>
      <c r="AR65" s="387"/>
      <c r="AS65" s="387"/>
      <c r="AT65" s="387"/>
      <c r="AU65" s="387"/>
      <c r="AV65" s="387"/>
      <c r="AW65" s="387"/>
      <c r="AX65" s="387"/>
      <c r="AY65" s="387"/>
      <c r="AZ65" s="387"/>
      <c r="BA65" s="387"/>
      <c r="BB65" s="387"/>
      <c r="BC65" s="387"/>
      <c r="BD65" s="387"/>
      <c r="BE65" s="387"/>
      <c r="BF65" s="387"/>
      <c r="BG65" s="387"/>
      <c r="BH65" s="387"/>
      <c r="BI65" s="387"/>
      <c r="BJ65" s="387"/>
      <c r="BK65" s="388"/>
    </row>
    <row r="66" spans="1:63" s="402" customFormat="1" ht="21" hidden="1" customHeight="1" x14ac:dyDescent="0.2">
      <c r="A66" s="381" t="s">
        <v>19</v>
      </c>
      <c r="B66" s="381">
        <v>101630</v>
      </c>
      <c r="C66" s="416" t="s">
        <v>20</v>
      </c>
      <c r="D66" s="382" t="s">
        <v>40</v>
      </c>
      <c r="E66" s="381" t="s">
        <v>22</v>
      </c>
      <c r="F66" s="381" t="s">
        <v>23</v>
      </c>
      <c r="G66" s="384">
        <v>45986</v>
      </c>
      <c r="H66" s="390" t="s">
        <v>217</v>
      </c>
      <c r="I66" s="393">
        <v>13343216</v>
      </c>
      <c r="J66" s="381" t="s">
        <v>218</v>
      </c>
      <c r="K66" s="381">
        <v>71981834730</v>
      </c>
      <c r="L66" s="381">
        <v>71981834730</v>
      </c>
      <c r="M66" s="381" t="s">
        <v>219</v>
      </c>
      <c r="O66" s="420"/>
      <c r="Q66" s="405"/>
      <c r="R66" s="423"/>
      <c r="S66" s="400"/>
      <c r="T66" s="400"/>
      <c r="U66" s="400"/>
      <c r="V66" s="400"/>
      <c r="W66" s="400"/>
      <c r="X66" s="400"/>
      <c r="Y66" s="400"/>
      <c r="Z66" s="400"/>
      <c r="AA66" s="400"/>
      <c r="AB66" s="400"/>
      <c r="AC66" s="400"/>
      <c r="AD66" s="400"/>
      <c r="AE66" s="400"/>
      <c r="AF66" s="400"/>
      <c r="AG66" s="400"/>
      <c r="AH66" s="400"/>
      <c r="AI66" s="400"/>
      <c r="AJ66" s="400"/>
      <c r="AK66" s="400"/>
      <c r="AL66" s="400"/>
      <c r="AM66" s="400"/>
      <c r="AN66" s="400"/>
      <c r="AO66" s="400"/>
      <c r="AP66" s="400"/>
      <c r="AQ66" s="400"/>
      <c r="AR66" s="400"/>
      <c r="AS66" s="400"/>
      <c r="AT66" s="400"/>
      <c r="AU66" s="400"/>
      <c r="AV66" s="400"/>
      <c r="AW66" s="400"/>
      <c r="AX66" s="400"/>
      <c r="AY66" s="400"/>
      <c r="AZ66" s="400"/>
      <c r="BA66" s="400"/>
      <c r="BB66" s="400"/>
      <c r="BC66" s="400"/>
      <c r="BD66" s="400"/>
      <c r="BE66" s="400"/>
      <c r="BF66" s="400"/>
      <c r="BG66" s="400"/>
      <c r="BH66" s="400"/>
      <c r="BI66" s="400"/>
      <c r="BJ66" s="400"/>
      <c r="BK66" s="401"/>
    </row>
    <row r="67" spans="1:63" s="402" customFormat="1" ht="21" hidden="1" customHeight="1" x14ac:dyDescent="0.2">
      <c r="A67" s="381" t="s">
        <v>19</v>
      </c>
      <c r="B67" s="381">
        <v>101630</v>
      </c>
      <c r="C67" s="416" t="s">
        <v>20</v>
      </c>
      <c r="D67" s="382" t="s">
        <v>40</v>
      </c>
      <c r="E67" s="381" t="s">
        <v>22</v>
      </c>
      <c r="F67" s="381" t="s">
        <v>23</v>
      </c>
      <c r="G67" s="384">
        <v>45985</v>
      </c>
      <c r="H67" s="390" t="s">
        <v>220</v>
      </c>
      <c r="I67" s="393">
        <v>91162889</v>
      </c>
      <c r="J67" s="381" t="s">
        <v>221</v>
      </c>
      <c r="K67" s="381">
        <v>71988568900</v>
      </c>
      <c r="L67" s="381">
        <v>71988568900</v>
      </c>
      <c r="M67" s="381" t="s">
        <v>219</v>
      </c>
      <c r="O67" s="420"/>
      <c r="P67" s="415" t="s">
        <v>97</v>
      </c>
      <c r="Q67" s="405"/>
      <c r="R67" s="423"/>
      <c r="S67" s="424" t="s">
        <v>97</v>
      </c>
      <c r="T67" s="400"/>
      <c r="U67" s="400"/>
      <c r="V67" s="400"/>
      <c r="W67" s="400"/>
      <c r="X67" s="400"/>
      <c r="Y67" s="400"/>
      <c r="Z67" s="400"/>
      <c r="AA67" s="400"/>
      <c r="AB67" s="400"/>
      <c r="AC67" s="400"/>
      <c r="AD67" s="400"/>
      <c r="AE67" s="400"/>
      <c r="AF67" s="400"/>
      <c r="AG67" s="400"/>
      <c r="AH67" s="400"/>
      <c r="AI67" s="400"/>
      <c r="AJ67" s="400"/>
      <c r="AK67" s="400"/>
      <c r="AL67" s="400"/>
      <c r="AM67" s="400"/>
      <c r="AN67" s="400"/>
      <c r="AO67" s="400"/>
      <c r="AP67" s="400"/>
      <c r="AQ67" s="400"/>
      <c r="AR67" s="400"/>
      <c r="AS67" s="400"/>
      <c r="AT67" s="400"/>
      <c r="AU67" s="400"/>
      <c r="AV67" s="400"/>
      <c r="AW67" s="400"/>
      <c r="AX67" s="400"/>
      <c r="AY67" s="400"/>
      <c r="AZ67" s="400"/>
      <c r="BA67" s="400"/>
      <c r="BB67" s="400"/>
      <c r="BC67" s="400"/>
      <c r="BD67" s="400"/>
      <c r="BE67" s="400"/>
      <c r="BF67" s="400"/>
      <c r="BG67" s="400"/>
      <c r="BH67" s="400"/>
      <c r="BI67" s="400"/>
      <c r="BJ67" s="400"/>
      <c r="BK67" s="401"/>
    </row>
    <row r="68" spans="1:63" s="402" customFormat="1" ht="21" hidden="1" customHeight="1" x14ac:dyDescent="0.2">
      <c r="A68" s="381" t="s">
        <v>19</v>
      </c>
      <c r="B68" s="381">
        <v>101627</v>
      </c>
      <c r="C68" s="416" t="s">
        <v>20</v>
      </c>
      <c r="D68" s="382" t="s">
        <v>44</v>
      </c>
      <c r="E68" s="381" t="s">
        <v>22</v>
      </c>
      <c r="F68" s="381" t="s">
        <v>23</v>
      </c>
      <c r="G68" s="384">
        <v>45982</v>
      </c>
      <c r="H68" s="390" t="s">
        <v>222</v>
      </c>
      <c r="I68" s="393">
        <v>25051936</v>
      </c>
      <c r="J68" s="381" t="s">
        <v>223</v>
      </c>
      <c r="K68" s="381">
        <v>71991105903</v>
      </c>
      <c r="L68" s="381">
        <v>71991105903</v>
      </c>
      <c r="M68" s="381" t="s">
        <v>219</v>
      </c>
      <c r="O68" s="420"/>
      <c r="Q68" s="405"/>
      <c r="R68" s="423"/>
      <c r="S68" s="400"/>
      <c r="T68" s="400"/>
      <c r="U68" s="400"/>
      <c r="V68" s="400"/>
      <c r="W68" s="400"/>
      <c r="X68" s="400"/>
      <c r="Y68" s="400"/>
      <c r="Z68" s="400"/>
      <c r="AA68" s="400"/>
      <c r="AB68" s="400"/>
      <c r="AC68" s="400"/>
      <c r="AD68" s="400"/>
      <c r="AE68" s="400"/>
      <c r="AF68" s="400"/>
      <c r="AG68" s="400"/>
      <c r="AH68" s="400"/>
      <c r="AI68" s="400"/>
      <c r="AJ68" s="400"/>
      <c r="AK68" s="400"/>
      <c r="AL68" s="400"/>
      <c r="AM68" s="400"/>
      <c r="AN68" s="400"/>
      <c r="AO68" s="400"/>
      <c r="AP68" s="400"/>
      <c r="AQ68" s="400"/>
      <c r="AR68" s="400"/>
      <c r="AS68" s="400"/>
      <c r="AT68" s="400"/>
      <c r="AU68" s="400"/>
      <c r="AV68" s="400"/>
      <c r="AW68" s="400"/>
      <c r="AX68" s="400"/>
      <c r="AY68" s="400"/>
      <c r="AZ68" s="400"/>
      <c r="BA68" s="400"/>
      <c r="BB68" s="400"/>
      <c r="BC68" s="400"/>
      <c r="BD68" s="400"/>
      <c r="BE68" s="400"/>
      <c r="BF68" s="400"/>
      <c r="BG68" s="400"/>
      <c r="BH68" s="400"/>
      <c r="BI68" s="400"/>
      <c r="BJ68" s="400"/>
      <c r="BK68" s="401"/>
    </row>
    <row r="69" spans="1:63" s="402" customFormat="1" ht="21" hidden="1" customHeight="1" x14ac:dyDescent="0.2">
      <c r="A69" s="381" t="s">
        <v>19</v>
      </c>
      <c r="B69" s="381">
        <v>101627</v>
      </c>
      <c r="C69" s="416" t="s">
        <v>20</v>
      </c>
      <c r="D69" s="382" t="s">
        <v>44</v>
      </c>
      <c r="E69" s="381" t="s">
        <v>22</v>
      </c>
      <c r="F69" s="381" t="s">
        <v>23</v>
      </c>
      <c r="G69" s="384">
        <v>45980</v>
      </c>
      <c r="H69" s="390" t="s">
        <v>224</v>
      </c>
      <c r="I69" s="393">
        <v>21853465</v>
      </c>
      <c r="J69" s="381" t="s">
        <v>225</v>
      </c>
      <c r="K69" s="381">
        <v>71993025744</v>
      </c>
      <c r="L69" s="381">
        <v>71993025744</v>
      </c>
      <c r="M69" s="381" t="s">
        <v>219</v>
      </c>
      <c r="O69" s="420"/>
      <c r="Q69" s="405"/>
      <c r="R69" s="423"/>
      <c r="S69" s="400"/>
      <c r="T69" s="400"/>
      <c r="U69" s="400"/>
      <c r="V69" s="400"/>
      <c r="W69" s="400"/>
      <c r="X69" s="400"/>
      <c r="Y69" s="400"/>
      <c r="Z69" s="400"/>
      <c r="AA69" s="400"/>
      <c r="AB69" s="400"/>
      <c r="AC69" s="400"/>
      <c r="AD69" s="400"/>
      <c r="AE69" s="400"/>
      <c r="AF69" s="400"/>
      <c r="AG69" s="400"/>
      <c r="AH69" s="400"/>
      <c r="AI69" s="400"/>
      <c r="AJ69" s="400"/>
      <c r="AK69" s="400"/>
      <c r="AL69" s="400"/>
      <c r="AM69" s="400"/>
      <c r="AN69" s="400"/>
      <c r="AO69" s="400"/>
      <c r="AP69" s="400"/>
      <c r="AQ69" s="400"/>
      <c r="AR69" s="400"/>
      <c r="AS69" s="400"/>
      <c r="AT69" s="400"/>
      <c r="AU69" s="400"/>
      <c r="AV69" s="400"/>
      <c r="AW69" s="400"/>
      <c r="AX69" s="400"/>
      <c r="AY69" s="400"/>
      <c r="AZ69" s="400"/>
      <c r="BA69" s="400"/>
      <c r="BB69" s="400"/>
      <c r="BC69" s="400"/>
      <c r="BD69" s="400"/>
      <c r="BE69" s="400"/>
      <c r="BF69" s="400"/>
      <c r="BG69" s="400"/>
      <c r="BH69" s="400"/>
      <c r="BI69" s="400"/>
      <c r="BJ69" s="400"/>
      <c r="BK69" s="401"/>
    </row>
    <row r="70" spans="1:63" s="402" customFormat="1" ht="21" hidden="1" customHeight="1" x14ac:dyDescent="0.2">
      <c r="A70" s="381" t="s">
        <v>19</v>
      </c>
      <c r="B70" s="381">
        <v>101624</v>
      </c>
      <c r="C70" s="382" t="s">
        <v>20</v>
      </c>
      <c r="D70" s="382" t="s">
        <v>36</v>
      </c>
      <c r="E70" s="381" t="s">
        <v>22</v>
      </c>
      <c r="F70" s="381" t="s">
        <v>23</v>
      </c>
      <c r="G70" s="384">
        <v>45980</v>
      </c>
      <c r="H70" s="390" t="s">
        <v>226</v>
      </c>
      <c r="I70" s="393">
        <v>25051100</v>
      </c>
      <c r="J70" s="381" t="s">
        <v>227</v>
      </c>
      <c r="K70" s="381">
        <v>71982814873</v>
      </c>
      <c r="L70" s="381">
        <v>71982814873</v>
      </c>
      <c r="M70" s="381" t="s">
        <v>70</v>
      </c>
      <c r="O70" s="420"/>
      <c r="Q70" s="405"/>
      <c r="R70" s="423"/>
      <c r="S70" s="400"/>
      <c r="T70" s="400"/>
      <c r="U70" s="400"/>
      <c r="V70" s="400"/>
      <c r="W70" s="400"/>
      <c r="X70" s="400"/>
      <c r="Y70" s="400"/>
      <c r="Z70" s="400"/>
      <c r="AA70" s="400"/>
      <c r="AB70" s="400"/>
      <c r="AC70" s="400"/>
      <c r="AD70" s="400"/>
      <c r="AE70" s="400"/>
      <c r="AF70" s="400"/>
      <c r="AG70" s="400"/>
      <c r="AH70" s="400"/>
      <c r="AI70" s="400"/>
      <c r="AJ70" s="400"/>
      <c r="AK70" s="400"/>
      <c r="AL70" s="400"/>
      <c r="AM70" s="400"/>
      <c r="AN70" s="400"/>
      <c r="AO70" s="400"/>
      <c r="AP70" s="400"/>
      <c r="AQ70" s="400"/>
      <c r="AR70" s="400"/>
      <c r="AS70" s="400"/>
      <c r="AT70" s="400"/>
      <c r="AU70" s="400"/>
      <c r="AV70" s="400"/>
      <c r="AW70" s="400"/>
      <c r="AX70" s="400"/>
      <c r="AY70" s="400"/>
      <c r="AZ70" s="400"/>
      <c r="BA70" s="400"/>
      <c r="BB70" s="400"/>
      <c r="BC70" s="400"/>
      <c r="BD70" s="400"/>
      <c r="BE70" s="400"/>
      <c r="BF70" s="400"/>
      <c r="BG70" s="400"/>
      <c r="BH70" s="400"/>
      <c r="BI70" s="400"/>
      <c r="BJ70" s="400"/>
      <c r="BK70" s="401"/>
    </row>
    <row r="71" spans="1:63" s="402" customFormat="1" ht="21" customHeight="1" x14ac:dyDescent="0.2">
      <c r="A71" s="381" t="s">
        <v>19</v>
      </c>
      <c r="B71" s="381">
        <v>101629</v>
      </c>
      <c r="C71" s="382" t="s">
        <v>20</v>
      </c>
      <c r="D71" s="382" t="s">
        <v>62</v>
      </c>
      <c r="E71" s="381" t="s">
        <v>22</v>
      </c>
      <c r="F71" s="381" t="s">
        <v>23</v>
      </c>
      <c r="G71" s="384">
        <v>45987</v>
      </c>
      <c r="H71" s="390" t="s">
        <v>228</v>
      </c>
      <c r="I71" s="393">
        <v>21891763</v>
      </c>
      <c r="J71" s="381" t="s">
        <v>229</v>
      </c>
      <c r="K71" s="381">
        <v>71984904708</v>
      </c>
      <c r="L71" s="381">
        <v>71984904708</v>
      </c>
      <c r="M71" s="381" t="s">
        <v>73</v>
      </c>
      <c r="O71" s="420"/>
      <c r="Q71" s="405"/>
      <c r="R71" s="423"/>
      <c r="S71" s="400"/>
      <c r="T71" s="400"/>
      <c r="U71" s="400"/>
      <c r="V71" s="400"/>
      <c r="W71" s="400"/>
      <c r="X71" s="400"/>
      <c r="Y71" s="400"/>
      <c r="Z71" s="400"/>
      <c r="AA71" s="400"/>
      <c r="AB71" s="400"/>
      <c r="AC71" s="400"/>
      <c r="AD71" s="400"/>
      <c r="AE71" s="400"/>
      <c r="AF71" s="400"/>
      <c r="AG71" s="400"/>
      <c r="AH71" s="400"/>
      <c r="AI71" s="400"/>
      <c r="AJ71" s="400"/>
      <c r="AK71" s="400"/>
      <c r="AL71" s="400"/>
      <c r="AM71" s="400"/>
      <c r="AN71" s="400"/>
      <c r="AO71" s="400"/>
      <c r="AP71" s="400"/>
      <c r="AQ71" s="400"/>
      <c r="AR71" s="400"/>
      <c r="AS71" s="400"/>
      <c r="AT71" s="400"/>
      <c r="AU71" s="400"/>
      <c r="AV71" s="400"/>
      <c r="AW71" s="400"/>
      <c r="AX71" s="400"/>
      <c r="AY71" s="400"/>
      <c r="AZ71" s="400"/>
      <c r="BA71" s="400"/>
      <c r="BB71" s="400"/>
      <c r="BC71" s="400"/>
      <c r="BD71" s="400"/>
      <c r="BE71" s="400"/>
      <c r="BF71" s="400"/>
      <c r="BG71" s="400"/>
      <c r="BH71" s="400"/>
      <c r="BI71" s="400"/>
      <c r="BJ71" s="400"/>
      <c r="BK71" s="401"/>
    </row>
    <row r="72" spans="1:63" s="402" customFormat="1" ht="21" hidden="1" customHeight="1" x14ac:dyDescent="0.2">
      <c r="A72" s="381" t="s">
        <v>19</v>
      </c>
      <c r="B72" s="381">
        <v>101626</v>
      </c>
      <c r="C72" s="382" t="s">
        <v>20</v>
      </c>
      <c r="D72" s="382" t="s">
        <v>21</v>
      </c>
      <c r="E72" s="381" t="s">
        <v>22</v>
      </c>
      <c r="F72" s="381" t="s">
        <v>23</v>
      </c>
      <c r="G72" s="384">
        <v>45982</v>
      </c>
      <c r="H72" s="390" t="s">
        <v>230</v>
      </c>
      <c r="I72" s="393">
        <v>25051865</v>
      </c>
      <c r="J72" s="381" t="s">
        <v>231</v>
      </c>
      <c r="K72" s="381">
        <v>77999427065</v>
      </c>
      <c r="L72" s="381">
        <v>77999427065</v>
      </c>
      <c r="M72" s="381" t="s">
        <v>70</v>
      </c>
      <c r="O72" s="420"/>
      <c r="Q72" s="405"/>
      <c r="R72" s="423"/>
      <c r="S72" s="400"/>
      <c r="T72" s="400"/>
      <c r="U72" s="400"/>
      <c r="V72" s="400"/>
      <c r="W72" s="400"/>
      <c r="X72" s="400"/>
      <c r="Y72" s="400"/>
      <c r="Z72" s="400"/>
      <c r="AA72" s="400"/>
      <c r="AB72" s="400"/>
      <c r="AC72" s="400"/>
      <c r="AD72" s="400"/>
      <c r="AE72" s="400"/>
      <c r="AF72" s="400"/>
      <c r="AG72" s="400"/>
      <c r="AH72" s="400"/>
      <c r="AI72" s="400"/>
      <c r="AJ72" s="400"/>
      <c r="AK72" s="400"/>
      <c r="AL72" s="400"/>
      <c r="AM72" s="400"/>
      <c r="AN72" s="400"/>
      <c r="AO72" s="400"/>
      <c r="AP72" s="400"/>
      <c r="AQ72" s="400"/>
      <c r="AR72" s="400"/>
      <c r="AS72" s="400"/>
      <c r="AT72" s="400"/>
      <c r="AU72" s="400"/>
      <c r="AV72" s="400"/>
      <c r="AW72" s="400"/>
      <c r="AX72" s="400"/>
      <c r="AY72" s="400"/>
      <c r="AZ72" s="400"/>
      <c r="BA72" s="400"/>
      <c r="BB72" s="400"/>
      <c r="BC72" s="400"/>
      <c r="BD72" s="400"/>
      <c r="BE72" s="400"/>
      <c r="BF72" s="400"/>
      <c r="BG72" s="400"/>
      <c r="BH72" s="400"/>
      <c r="BI72" s="400"/>
      <c r="BJ72" s="400"/>
      <c r="BK72" s="401"/>
    </row>
    <row r="73" spans="1:63" s="402" customFormat="1" ht="21" hidden="1" customHeight="1" x14ac:dyDescent="0.2">
      <c r="A73" s="381" t="s">
        <v>19</v>
      </c>
      <c r="B73" s="381">
        <v>101624</v>
      </c>
      <c r="C73" s="382" t="s">
        <v>20</v>
      </c>
      <c r="D73" s="382" t="s">
        <v>36</v>
      </c>
      <c r="E73" s="381" t="s">
        <v>22</v>
      </c>
      <c r="F73" s="381" t="s">
        <v>23</v>
      </c>
      <c r="G73" s="384">
        <v>45986</v>
      </c>
      <c r="H73" s="390" t="s">
        <v>232</v>
      </c>
      <c r="I73" s="393">
        <v>21823924</v>
      </c>
      <c r="J73" s="381" t="s">
        <v>233</v>
      </c>
      <c r="K73" s="381">
        <v>71982313389</v>
      </c>
      <c r="L73" s="381">
        <v>71982313389</v>
      </c>
      <c r="M73" s="381" t="s">
        <v>70</v>
      </c>
      <c r="O73" s="420"/>
      <c r="Q73" s="405"/>
      <c r="R73" s="423"/>
      <c r="S73" s="400"/>
      <c r="T73" s="400"/>
      <c r="U73" s="400"/>
      <c r="V73" s="400"/>
      <c r="W73" s="400"/>
      <c r="X73" s="400"/>
      <c r="Y73" s="400"/>
      <c r="Z73" s="400"/>
      <c r="AA73" s="400"/>
      <c r="AB73" s="400"/>
      <c r="AC73" s="400"/>
      <c r="AD73" s="400"/>
      <c r="AE73" s="400"/>
      <c r="AF73" s="400"/>
      <c r="AG73" s="400"/>
      <c r="AH73" s="400"/>
      <c r="AI73" s="400"/>
      <c r="AJ73" s="400"/>
      <c r="AK73" s="400"/>
      <c r="AL73" s="400"/>
      <c r="AM73" s="400"/>
      <c r="AN73" s="400"/>
      <c r="AO73" s="400"/>
      <c r="AP73" s="400"/>
      <c r="AQ73" s="400"/>
      <c r="AR73" s="400"/>
      <c r="AS73" s="400"/>
      <c r="AT73" s="400"/>
      <c r="AU73" s="400"/>
      <c r="AV73" s="400"/>
      <c r="AW73" s="400"/>
      <c r="AX73" s="400"/>
      <c r="AY73" s="400"/>
      <c r="AZ73" s="400"/>
      <c r="BA73" s="400"/>
      <c r="BB73" s="400"/>
      <c r="BC73" s="400"/>
      <c r="BD73" s="400"/>
      <c r="BE73" s="400"/>
      <c r="BF73" s="400"/>
      <c r="BG73" s="400"/>
      <c r="BH73" s="400"/>
      <c r="BI73" s="400"/>
      <c r="BJ73" s="400"/>
      <c r="BK73" s="401"/>
    </row>
    <row r="74" spans="1:63" s="435" customFormat="1" ht="32.25" hidden="1" customHeight="1" x14ac:dyDescent="0.25">
      <c r="A74" s="435" t="s">
        <v>19</v>
      </c>
      <c r="B74" s="435">
        <v>101631</v>
      </c>
      <c r="C74" s="419" t="s">
        <v>175</v>
      </c>
      <c r="D74" s="419" t="s">
        <v>27</v>
      </c>
      <c r="E74" s="435" t="s">
        <v>22</v>
      </c>
      <c r="F74" s="435" t="s">
        <v>23</v>
      </c>
      <c r="G74" s="438">
        <v>45988</v>
      </c>
      <c r="H74" s="403" t="s">
        <v>234</v>
      </c>
      <c r="I74" s="448">
        <v>25052856</v>
      </c>
      <c r="J74" s="484" t="s">
        <v>235</v>
      </c>
      <c r="K74" s="435">
        <v>71999380201</v>
      </c>
      <c r="L74" s="435">
        <v>71999380201</v>
      </c>
      <c r="M74" s="485" t="s">
        <v>73</v>
      </c>
      <c r="N74" s="435" t="s">
        <v>157</v>
      </c>
      <c r="O74" s="419" t="s">
        <v>236</v>
      </c>
      <c r="Q74" s="486"/>
      <c r="R74" s="487" t="s">
        <v>237</v>
      </c>
      <c r="S74" s="488"/>
      <c r="T74" s="488"/>
      <c r="U74" s="488"/>
      <c r="V74" s="488"/>
      <c r="W74" s="488"/>
      <c r="X74" s="488"/>
      <c r="Y74" s="488"/>
      <c r="Z74" s="488"/>
      <c r="AA74" s="488"/>
      <c r="AB74" s="488"/>
      <c r="AC74" s="488"/>
      <c r="AD74" s="488"/>
      <c r="AE74" s="488"/>
      <c r="AF74" s="488"/>
      <c r="AG74" s="488"/>
      <c r="AH74" s="488"/>
      <c r="AI74" s="488"/>
      <c r="AJ74" s="488"/>
      <c r="AK74" s="488"/>
      <c r="AL74" s="488"/>
      <c r="AM74" s="488"/>
      <c r="AN74" s="488"/>
      <c r="AO74" s="488"/>
      <c r="AP74" s="488"/>
      <c r="AQ74" s="488"/>
      <c r="AR74" s="488"/>
      <c r="AS74" s="488"/>
      <c r="AT74" s="488"/>
      <c r="AU74" s="488"/>
      <c r="AV74" s="488"/>
      <c r="AW74" s="488"/>
      <c r="AX74" s="488"/>
      <c r="AY74" s="488"/>
      <c r="AZ74" s="488"/>
      <c r="BA74" s="488"/>
      <c r="BB74" s="488"/>
      <c r="BC74" s="488"/>
      <c r="BD74" s="488"/>
      <c r="BE74" s="488"/>
      <c r="BF74" s="488"/>
      <c r="BG74" s="488"/>
      <c r="BH74" s="488"/>
      <c r="BI74" s="488"/>
      <c r="BJ74" s="488"/>
      <c r="BK74" s="489"/>
    </row>
    <row r="75" spans="1:63" s="402" customFormat="1" ht="21" hidden="1" customHeight="1" x14ac:dyDescent="0.2">
      <c r="A75" s="415" t="s">
        <v>19</v>
      </c>
      <c r="B75" s="381">
        <v>101623</v>
      </c>
      <c r="C75" s="382" t="s">
        <v>20</v>
      </c>
      <c r="D75" s="382" t="s">
        <v>48</v>
      </c>
      <c r="E75" s="381" t="s">
        <v>22</v>
      </c>
      <c r="F75" s="381" t="s">
        <v>23</v>
      </c>
      <c r="G75" s="384">
        <v>45986</v>
      </c>
      <c r="H75" s="390" t="s">
        <v>238</v>
      </c>
      <c r="I75" s="393">
        <v>25052485</v>
      </c>
      <c r="J75" s="381" t="s">
        <v>239</v>
      </c>
      <c r="K75" s="381">
        <v>71987397790</v>
      </c>
      <c r="L75" s="381">
        <v>71987397790</v>
      </c>
      <c r="M75" s="381" t="s">
        <v>70</v>
      </c>
      <c r="O75" s="420"/>
      <c r="Q75" s="405"/>
      <c r="R75" s="423"/>
      <c r="S75" s="400"/>
      <c r="T75" s="400"/>
      <c r="U75" s="400"/>
      <c r="V75" s="400"/>
      <c r="W75" s="400"/>
      <c r="X75" s="400"/>
      <c r="Y75" s="400"/>
      <c r="Z75" s="400"/>
      <c r="AA75" s="400"/>
      <c r="AB75" s="400"/>
      <c r="AC75" s="400"/>
      <c r="AD75" s="400"/>
      <c r="AE75" s="400"/>
      <c r="AF75" s="400"/>
      <c r="AG75" s="400"/>
      <c r="AH75" s="400"/>
      <c r="AI75" s="400"/>
      <c r="AJ75" s="400"/>
      <c r="AK75" s="400"/>
      <c r="AL75" s="400"/>
      <c r="AM75" s="400"/>
      <c r="AN75" s="400"/>
      <c r="AO75" s="400"/>
      <c r="AP75" s="400"/>
      <c r="AQ75" s="400"/>
      <c r="AR75" s="400"/>
      <c r="AS75" s="400"/>
      <c r="AT75" s="400"/>
      <c r="AU75" s="400"/>
      <c r="AV75" s="400"/>
      <c r="AW75" s="400"/>
      <c r="AX75" s="400"/>
      <c r="AY75" s="400"/>
      <c r="AZ75" s="400"/>
      <c r="BA75" s="400"/>
      <c r="BB75" s="400"/>
      <c r="BC75" s="400"/>
      <c r="BD75" s="400"/>
      <c r="BE75" s="400"/>
      <c r="BF75" s="400"/>
      <c r="BG75" s="400"/>
      <c r="BH75" s="400"/>
      <c r="BI75" s="400"/>
      <c r="BJ75" s="400"/>
      <c r="BK75" s="401"/>
    </row>
    <row r="76" spans="1:63" s="381" customFormat="1" ht="21" hidden="1" customHeight="1" x14ac:dyDescent="0.2">
      <c r="A76" s="381" t="s">
        <v>19</v>
      </c>
      <c r="B76" s="381">
        <v>101627</v>
      </c>
      <c r="C76" s="382" t="s">
        <v>20</v>
      </c>
      <c r="D76" s="382" t="s">
        <v>44</v>
      </c>
      <c r="E76" s="381" t="s">
        <v>22</v>
      </c>
      <c r="F76" s="381" t="s">
        <v>23</v>
      </c>
      <c r="G76" s="384">
        <v>45981</v>
      </c>
      <c r="H76" s="390" t="s">
        <v>240</v>
      </c>
      <c r="I76" s="393">
        <v>25051621</v>
      </c>
      <c r="J76" s="381" t="s">
        <v>241</v>
      </c>
      <c r="K76" s="381">
        <v>71991250117</v>
      </c>
      <c r="L76" s="381">
        <v>71991250117</v>
      </c>
      <c r="M76" s="381" t="s">
        <v>73</v>
      </c>
      <c r="O76" s="382"/>
      <c r="Q76" s="386"/>
      <c r="R76" s="399"/>
      <c r="S76" s="387"/>
      <c r="T76" s="387"/>
      <c r="U76" s="387"/>
      <c r="V76" s="387"/>
      <c r="W76" s="387"/>
      <c r="X76" s="387"/>
      <c r="Y76" s="387"/>
      <c r="Z76" s="387"/>
      <c r="AA76" s="387"/>
      <c r="AB76" s="387"/>
      <c r="AC76" s="387"/>
      <c r="AD76" s="387"/>
      <c r="AE76" s="387"/>
      <c r="AF76" s="387"/>
      <c r="AG76" s="387"/>
      <c r="AH76" s="387"/>
      <c r="AI76" s="387"/>
      <c r="AJ76" s="387"/>
      <c r="AK76" s="387"/>
      <c r="AL76" s="387"/>
      <c r="AM76" s="387"/>
      <c r="AN76" s="387"/>
      <c r="AO76" s="387"/>
      <c r="AP76" s="387"/>
      <c r="AQ76" s="387"/>
      <c r="AR76" s="387"/>
      <c r="AS76" s="387"/>
      <c r="AT76" s="387"/>
      <c r="AU76" s="387"/>
      <c r="AV76" s="387"/>
      <c r="AW76" s="387"/>
      <c r="AX76" s="387"/>
      <c r="AY76" s="387"/>
      <c r="AZ76" s="387"/>
      <c r="BA76" s="387"/>
      <c r="BB76" s="387"/>
      <c r="BC76" s="387"/>
      <c r="BD76" s="387"/>
      <c r="BE76" s="387"/>
      <c r="BF76" s="387"/>
      <c r="BG76" s="387"/>
      <c r="BH76" s="387"/>
      <c r="BI76" s="387"/>
      <c r="BJ76" s="387"/>
      <c r="BK76" s="388"/>
    </row>
    <row r="77" spans="1:63" s="402" customFormat="1" ht="23.25" hidden="1" customHeight="1" x14ac:dyDescent="0.2">
      <c r="A77" s="415" t="s">
        <v>19</v>
      </c>
      <c r="B77" s="381">
        <v>101623</v>
      </c>
      <c r="C77" s="382" t="s">
        <v>20</v>
      </c>
      <c r="D77" s="416" t="s">
        <v>48</v>
      </c>
      <c r="E77" s="381" t="s">
        <v>22</v>
      </c>
      <c r="F77" s="381" t="s">
        <v>23</v>
      </c>
      <c r="G77" s="417">
        <v>45993</v>
      </c>
      <c r="H77" s="385" t="s">
        <v>242</v>
      </c>
      <c r="I77" s="418">
        <v>25052323</v>
      </c>
      <c r="J77" s="434" t="s">
        <v>243</v>
      </c>
      <c r="K77" s="415" t="s">
        <v>244</v>
      </c>
      <c r="L77" s="415" t="s">
        <v>244</v>
      </c>
      <c r="M77" s="415" t="s">
        <v>70</v>
      </c>
      <c r="O77" s="420"/>
      <c r="Q77" s="405"/>
      <c r="R77" s="423"/>
      <c r="S77" s="400"/>
      <c r="T77" s="400"/>
      <c r="U77" s="400"/>
      <c r="V77" s="400"/>
      <c r="W77" s="400"/>
      <c r="X77" s="400"/>
      <c r="Y77" s="400"/>
      <c r="Z77" s="400"/>
      <c r="AA77" s="400"/>
      <c r="AB77" s="400"/>
      <c r="AC77" s="400"/>
      <c r="AD77" s="400"/>
      <c r="AE77" s="400"/>
      <c r="AF77" s="400"/>
      <c r="AG77" s="400"/>
      <c r="AH77" s="400"/>
      <c r="AI77" s="400"/>
      <c r="AJ77" s="400"/>
      <c r="AK77" s="400"/>
      <c r="AL77" s="400"/>
      <c r="AM77" s="400"/>
      <c r="AN77" s="400"/>
      <c r="AO77" s="400"/>
      <c r="AP77" s="400"/>
      <c r="AQ77" s="400"/>
      <c r="AR77" s="400"/>
      <c r="AS77" s="400"/>
      <c r="AT77" s="400"/>
      <c r="AU77" s="400"/>
      <c r="AV77" s="400"/>
      <c r="AW77" s="400"/>
      <c r="AX77" s="400"/>
      <c r="AY77" s="400"/>
      <c r="AZ77" s="400"/>
      <c r="BA77" s="400"/>
      <c r="BB77" s="400"/>
      <c r="BC77" s="400"/>
      <c r="BD77" s="400"/>
      <c r="BE77" s="400"/>
      <c r="BF77" s="400"/>
      <c r="BG77" s="400"/>
      <c r="BH77" s="400"/>
      <c r="BI77" s="400"/>
      <c r="BJ77" s="400"/>
      <c r="BK77" s="401"/>
    </row>
    <row r="78" spans="1:63" s="402" customFormat="1" ht="21" hidden="1" customHeight="1" x14ac:dyDescent="0.2">
      <c r="A78" s="435" t="s">
        <v>19</v>
      </c>
      <c r="B78" s="415">
        <v>101624</v>
      </c>
      <c r="C78" s="435" t="s">
        <v>20</v>
      </c>
      <c r="D78" s="416" t="s">
        <v>36</v>
      </c>
      <c r="E78" s="381" t="s">
        <v>22</v>
      </c>
      <c r="F78" s="381" t="s">
        <v>23</v>
      </c>
      <c r="G78" s="417">
        <v>45993</v>
      </c>
      <c r="H78" s="385" t="s">
        <v>245</v>
      </c>
      <c r="I78" s="418">
        <v>25053605</v>
      </c>
      <c r="J78" s="434" t="s">
        <v>246</v>
      </c>
      <c r="K78" s="415" t="s">
        <v>247</v>
      </c>
      <c r="L78" s="415" t="s">
        <v>247</v>
      </c>
      <c r="M78" s="415" t="s">
        <v>70</v>
      </c>
      <c r="O78" s="420"/>
      <c r="Q78" s="405"/>
      <c r="R78" s="423"/>
      <c r="S78" s="400"/>
      <c r="T78" s="400"/>
      <c r="U78" s="400"/>
      <c r="V78" s="400"/>
      <c r="W78" s="400"/>
      <c r="X78" s="400"/>
      <c r="Y78" s="400"/>
      <c r="Z78" s="400"/>
      <c r="AA78" s="400"/>
      <c r="AB78" s="400"/>
      <c r="AC78" s="400"/>
      <c r="AD78" s="400"/>
      <c r="AE78" s="400"/>
      <c r="AF78" s="400"/>
      <c r="AG78" s="400"/>
      <c r="AH78" s="400"/>
      <c r="AI78" s="400"/>
      <c r="AJ78" s="400"/>
      <c r="AK78" s="400"/>
      <c r="AL78" s="400"/>
      <c r="AM78" s="400"/>
      <c r="AN78" s="400"/>
      <c r="AO78" s="400"/>
      <c r="AP78" s="400"/>
      <c r="AQ78" s="400"/>
      <c r="AR78" s="400"/>
      <c r="AS78" s="400"/>
      <c r="AT78" s="400"/>
      <c r="AU78" s="400"/>
      <c r="AV78" s="400"/>
      <c r="AW78" s="400"/>
      <c r="AX78" s="400"/>
      <c r="AY78" s="400"/>
      <c r="AZ78" s="400"/>
      <c r="BA78" s="400"/>
      <c r="BB78" s="400"/>
      <c r="BC78" s="400"/>
      <c r="BD78" s="400"/>
      <c r="BE78" s="400"/>
      <c r="BF78" s="400"/>
      <c r="BG78" s="400"/>
      <c r="BH78" s="400"/>
      <c r="BI78" s="400"/>
      <c r="BJ78" s="400"/>
      <c r="BK78" s="401"/>
    </row>
    <row r="79" spans="1:63" s="402" customFormat="1" ht="21" hidden="1" customHeight="1" x14ac:dyDescent="0.2">
      <c r="A79" s="435" t="s">
        <v>19</v>
      </c>
      <c r="B79" s="415">
        <v>101630</v>
      </c>
      <c r="C79" s="435" t="s">
        <v>20</v>
      </c>
      <c r="D79" s="416" t="s">
        <v>248</v>
      </c>
      <c r="E79" s="381" t="s">
        <v>22</v>
      </c>
      <c r="F79" s="381" t="s">
        <v>23</v>
      </c>
      <c r="G79" s="417">
        <v>45994</v>
      </c>
      <c r="H79" s="385" t="s">
        <v>249</v>
      </c>
      <c r="I79" s="418">
        <v>25052010</v>
      </c>
      <c r="J79" s="436" t="s">
        <v>250</v>
      </c>
      <c r="K79" s="415" t="s">
        <v>251</v>
      </c>
      <c r="L79" s="415" t="s">
        <v>251</v>
      </c>
      <c r="M79" s="415" t="s">
        <v>70</v>
      </c>
      <c r="O79" s="420"/>
      <c r="Q79" s="405"/>
      <c r="R79" s="423"/>
      <c r="S79" s="400"/>
      <c r="T79" s="400"/>
      <c r="U79" s="400"/>
      <c r="V79" s="400"/>
      <c r="W79" s="400"/>
      <c r="X79" s="400"/>
      <c r="Y79" s="400"/>
      <c r="Z79" s="400"/>
      <c r="AA79" s="400"/>
      <c r="AB79" s="400"/>
      <c r="AC79" s="400"/>
      <c r="AD79" s="400"/>
      <c r="AE79" s="400"/>
      <c r="AF79" s="400"/>
      <c r="AG79" s="400"/>
      <c r="AH79" s="400"/>
      <c r="AI79" s="400"/>
      <c r="AJ79" s="400"/>
      <c r="AK79" s="400"/>
      <c r="AL79" s="400"/>
      <c r="AM79" s="400"/>
      <c r="AN79" s="400"/>
      <c r="AO79" s="400"/>
      <c r="AP79" s="400"/>
      <c r="AQ79" s="400"/>
      <c r="AR79" s="400"/>
      <c r="AS79" s="400"/>
      <c r="AT79" s="400"/>
      <c r="AU79" s="400"/>
      <c r="AV79" s="400"/>
      <c r="AW79" s="400"/>
      <c r="AX79" s="400"/>
      <c r="AY79" s="400"/>
      <c r="AZ79" s="400"/>
      <c r="BA79" s="400"/>
      <c r="BB79" s="400"/>
      <c r="BC79" s="400"/>
      <c r="BD79" s="400"/>
      <c r="BE79" s="400"/>
      <c r="BF79" s="400"/>
      <c r="BG79" s="400"/>
      <c r="BH79" s="400"/>
      <c r="BI79" s="400"/>
      <c r="BJ79" s="400"/>
      <c r="BK79" s="401"/>
    </row>
    <row r="80" spans="1:63" s="414" customFormat="1" ht="25.5" hidden="1" customHeight="1" x14ac:dyDescent="0.2">
      <c r="A80" s="383" t="s">
        <v>19</v>
      </c>
      <c r="B80" s="383">
        <v>101628</v>
      </c>
      <c r="C80" s="383" t="s">
        <v>20</v>
      </c>
      <c r="D80" s="389" t="s">
        <v>252</v>
      </c>
      <c r="E80" s="381" t="s">
        <v>22</v>
      </c>
      <c r="F80" s="381" t="s">
        <v>23</v>
      </c>
      <c r="G80" s="395">
        <v>45994</v>
      </c>
      <c r="H80" s="404" t="s">
        <v>253</v>
      </c>
      <c r="I80" s="393">
        <v>25053348</v>
      </c>
      <c r="J80" s="391" t="s">
        <v>254</v>
      </c>
      <c r="K80" s="381" t="s">
        <v>255</v>
      </c>
      <c r="L80" s="381" t="s">
        <v>255</v>
      </c>
      <c r="M80" s="381" t="s">
        <v>70</v>
      </c>
      <c r="N80" s="398" t="s">
        <v>157</v>
      </c>
      <c r="O80" s="421" t="s">
        <v>75</v>
      </c>
      <c r="P80" s="381"/>
      <c r="Q80" s="386"/>
      <c r="R80" s="399" t="s">
        <v>256</v>
      </c>
      <c r="S80" s="412"/>
      <c r="T80" s="412"/>
      <c r="U80" s="412"/>
      <c r="V80" s="412"/>
      <c r="W80" s="412"/>
      <c r="X80" s="412"/>
      <c r="Y80" s="412"/>
      <c r="Z80" s="412"/>
      <c r="AA80" s="412"/>
      <c r="AB80" s="412"/>
      <c r="AC80" s="412"/>
      <c r="AD80" s="412"/>
      <c r="AE80" s="412"/>
      <c r="AF80" s="412"/>
      <c r="AG80" s="412"/>
      <c r="AH80" s="412"/>
      <c r="AI80" s="412"/>
      <c r="AJ80" s="412"/>
      <c r="AK80" s="412"/>
      <c r="AL80" s="412"/>
      <c r="AM80" s="412"/>
      <c r="AN80" s="412"/>
      <c r="AO80" s="412"/>
      <c r="AP80" s="412"/>
      <c r="AQ80" s="412"/>
      <c r="AR80" s="412"/>
      <c r="AS80" s="412"/>
      <c r="AT80" s="412"/>
      <c r="AU80" s="412"/>
      <c r="AV80" s="412"/>
      <c r="AW80" s="412"/>
      <c r="AX80" s="412"/>
      <c r="AY80" s="412"/>
      <c r="AZ80" s="412"/>
      <c r="BA80" s="412"/>
      <c r="BB80" s="412"/>
      <c r="BC80" s="412"/>
      <c r="BD80" s="412"/>
      <c r="BE80" s="412"/>
      <c r="BF80" s="412"/>
      <c r="BG80" s="412"/>
      <c r="BH80" s="412"/>
      <c r="BI80" s="412"/>
      <c r="BJ80" s="412"/>
      <c r="BK80" s="413"/>
    </row>
    <row r="81" spans="1:63" s="402" customFormat="1" ht="23.25" hidden="1" customHeight="1" x14ac:dyDescent="0.2">
      <c r="A81" s="383" t="s">
        <v>19</v>
      </c>
      <c r="B81" s="383">
        <v>101624</v>
      </c>
      <c r="C81" s="383" t="s">
        <v>20</v>
      </c>
      <c r="D81" s="382" t="s">
        <v>36</v>
      </c>
      <c r="E81" s="381" t="s">
        <v>22</v>
      </c>
      <c r="F81" s="381" t="s">
        <v>23</v>
      </c>
      <c r="G81" s="395">
        <v>45994</v>
      </c>
      <c r="H81" s="404" t="s">
        <v>257</v>
      </c>
      <c r="I81" s="393">
        <v>25052197</v>
      </c>
      <c r="J81" s="437" t="s">
        <v>258</v>
      </c>
      <c r="K81" s="381" t="s">
        <v>259</v>
      </c>
      <c r="L81" s="381" t="s">
        <v>259</v>
      </c>
      <c r="M81" s="381" t="s">
        <v>70</v>
      </c>
      <c r="N81" s="398" t="s">
        <v>157</v>
      </c>
      <c r="O81" s="421" t="s">
        <v>260</v>
      </c>
      <c r="Q81" s="405"/>
      <c r="R81" s="399" t="s">
        <v>261</v>
      </c>
      <c r="S81" s="400"/>
      <c r="T81" s="400"/>
      <c r="U81" s="400"/>
      <c r="V81" s="400"/>
      <c r="W81" s="400"/>
      <c r="X81" s="400"/>
      <c r="Y81" s="400"/>
      <c r="Z81" s="400"/>
      <c r="AA81" s="400"/>
      <c r="AB81" s="400"/>
      <c r="AC81" s="400"/>
      <c r="AD81" s="400"/>
      <c r="AE81" s="400"/>
      <c r="AF81" s="400"/>
      <c r="AG81" s="400"/>
      <c r="AH81" s="400"/>
      <c r="AI81" s="400"/>
      <c r="AJ81" s="400"/>
      <c r="AK81" s="400"/>
      <c r="AL81" s="400"/>
      <c r="AM81" s="400"/>
      <c r="AN81" s="400"/>
      <c r="AO81" s="400"/>
      <c r="AP81" s="400"/>
      <c r="AQ81" s="400"/>
      <c r="AR81" s="400"/>
      <c r="AS81" s="400"/>
      <c r="AT81" s="400"/>
      <c r="AU81" s="400"/>
      <c r="AV81" s="400"/>
      <c r="AW81" s="400"/>
      <c r="AX81" s="400"/>
      <c r="AY81" s="400"/>
      <c r="AZ81" s="400"/>
      <c r="BA81" s="400"/>
      <c r="BB81" s="400"/>
      <c r="BC81" s="400"/>
      <c r="BD81" s="400"/>
      <c r="BE81" s="400"/>
      <c r="BF81" s="400"/>
      <c r="BG81" s="400"/>
      <c r="BH81" s="400"/>
      <c r="BI81" s="400"/>
      <c r="BJ81" s="400"/>
      <c r="BK81" s="401"/>
    </row>
    <row r="82" spans="1:63" s="402" customFormat="1" ht="21" hidden="1" customHeight="1" x14ac:dyDescent="0.2">
      <c r="A82" s="435" t="s">
        <v>19</v>
      </c>
      <c r="B82" s="435">
        <v>101628</v>
      </c>
      <c r="C82" s="416" t="s">
        <v>20</v>
      </c>
      <c r="D82" s="416" t="s">
        <v>252</v>
      </c>
      <c r="E82" s="415" t="s">
        <v>22</v>
      </c>
      <c r="F82" s="415" t="s">
        <v>23</v>
      </c>
      <c r="G82" s="438">
        <v>45995</v>
      </c>
      <c r="H82" s="385" t="s">
        <v>262</v>
      </c>
      <c r="I82" s="418">
        <v>13399462</v>
      </c>
      <c r="J82" s="436" t="s">
        <v>263</v>
      </c>
      <c r="K82" s="415" t="s">
        <v>264</v>
      </c>
      <c r="L82" s="415" t="s">
        <v>264</v>
      </c>
      <c r="M82" s="415" t="s">
        <v>70</v>
      </c>
      <c r="O82" s="420"/>
      <c r="Q82" s="405"/>
      <c r="R82" s="423"/>
      <c r="S82" s="400"/>
      <c r="T82" s="400"/>
      <c r="U82" s="400"/>
      <c r="V82" s="400"/>
      <c r="W82" s="400"/>
      <c r="X82" s="400"/>
      <c r="Y82" s="400"/>
      <c r="Z82" s="400"/>
      <c r="AA82" s="400"/>
      <c r="AB82" s="400"/>
      <c r="AC82" s="400"/>
      <c r="AD82" s="400"/>
      <c r="AE82" s="400"/>
      <c r="AF82" s="400"/>
      <c r="AG82" s="400"/>
      <c r="AH82" s="400"/>
      <c r="AI82" s="400"/>
      <c r="AJ82" s="400"/>
      <c r="AK82" s="400"/>
      <c r="AL82" s="400"/>
      <c r="AM82" s="400"/>
      <c r="AN82" s="400"/>
      <c r="AO82" s="400"/>
      <c r="AP82" s="400"/>
      <c r="AQ82" s="400"/>
      <c r="AR82" s="400"/>
      <c r="AS82" s="400"/>
      <c r="AT82" s="400"/>
      <c r="AU82" s="400"/>
      <c r="AV82" s="400"/>
      <c r="AW82" s="400"/>
      <c r="AX82" s="400"/>
      <c r="AY82" s="400"/>
      <c r="AZ82" s="400"/>
      <c r="BA82" s="400"/>
      <c r="BB82" s="400"/>
      <c r="BC82" s="400"/>
      <c r="BD82" s="400"/>
      <c r="BE82" s="400"/>
      <c r="BF82" s="400"/>
      <c r="BG82" s="400"/>
      <c r="BH82" s="400"/>
      <c r="BI82" s="400"/>
      <c r="BJ82" s="400"/>
      <c r="BK82" s="401"/>
    </row>
    <row r="83" spans="1:63" s="402" customFormat="1" ht="21" hidden="1" customHeight="1" x14ac:dyDescent="0.2">
      <c r="A83" s="383" t="s">
        <v>19</v>
      </c>
      <c r="B83" s="383">
        <v>101623</v>
      </c>
      <c r="C83" s="383" t="s">
        <v>20</v>
      </c>
      <c r="D83" s="382" t="s">
        <v>27</v>
      </c>
      <c r="E83" s="381" t="s">
        <v>22</v>
      </c>
      <c r="F83" s="381" t="s">
        <v>23</v>
      </c>
      <c r="G83" s="395">
        <v>45995</v>
      </c>
      <c r="H83" s="390" t="s">
        <v>265</v>
      </c>
      <c r="I83" s="393">
        <v>25051096</v>
      </c>
      <c r="J83" s="391" t="s">
        <v>266</v>
      </c>
      <c r="K83" s="381" t="s">
        <v>267</v>
      </c>
      <c r="L83" s="381" t="s">
        <v>267</v>
      </c>
      <c r="M83" s="381" t="s">
        <v>70</v>
      </c>
      <c r="N83" s="381" t="s">
        <v>157</v>
      </c>
      <c r="O83" s="421" t="s">
        <v>75</v>
      </c>
      <c r="Q83" s="405"/>
      <c r="R83" s="399" t="s">
        <v>268</v>
      </c>
      <c r="S83" s="400"/>
      <c r="T83" s="400"/>
      <c r="U83" s="400"/>
      <c r="V83" s="400"/>
      <c r="W83" s="400"/>
      <c r="X83" s="400"/>
      <c r="Y83" s="400"/>
      <c r="Z83" s="400"/>
      <c r="AA83" s="400"/>
      <c r="AB83" s="400"/>
      <c r="AC83" s="400"/>
      <c r="AD83" s="400"/>
      <c r="AE83" s="400"/>
      <c r="AF83" s="400"/>
      <c r="AG83" s="400"/>
      <c r="AH83" s="400"/>
      <c r="AI83" s="400"/>
      <c r="AJ83" s="400"/>
      <c r="AK83" s="400"/>
      <c r="AL83" s="400"/>
      <c r="AM83" s="400"/>
      <c r="AN83" s="400"/>
      <c r="AO83" s="400"/>
      <c r="AP83" s="400"/>
      <c r="AQ83" s="400"/>
      <c r="AR83" s="400"/>
      <c r="AS83" s="400"/>
      <c r="AT83" s="400"/>
      <c r="AU83" s="400"/>
      <c r="AV83" s="400"/>
      <c r="AW83" s="400"/>
      <c r="AX83" s="400"/>
      <c r="AY83" s="400"/>
      <c r="AZ83" s="400"/>
      <c r="BA83" s="400"/>
      <c r="BB83" s="400"/>
      <c r="BC83" s="400"/>
      <c r="BD83" s="400"/>
      <c r="BE83" s="400"/>
      <c r="BF83" s="400"/>
      <c r="BG83" s="400"/>
      <c r="BH83" s="400"/>
      <c r="BI83" s="400"/>
      <c r="BJ83" s="400"/>
      <c r="BK83" s="401"/>
    </row>
    <row r="84" spans="1:63" s="402" customFormat="1" ht="21" hidden="1" customHeight="1" x14ac:dyDescent="0.2">
      <c r="A84" s="435" t="s">
        <v>19</v>
      </c>
      <c r="B84" s="435">
        <v>101626</v>
      </c>
      <c r="C84" s="416" t="s">
        <v>20</v>
      </c>
      <c r="D84" s="416" t="s">
        <v>21</v>
      </c>
      <c r="E84" s="415" t="s">
        <v>22</v>
      </c>
      <c r="F84" s="415" t="s">
        <v>23</v>
      </c>
      <c r="G84" s="417">
        <v>45995</v>
      </c>
      <c r="H84" s="385" t="s">
        <v>269</v>
      </c>
      <c r="I84" s="418">
        <v>25053694</v>
      </c>
      <c r="J84" s="406" t="s">
        <v>270</v>
      </c>
      <c r="K84" s="415" t="s">
        <v>271</v>
      </c>
      <c r="L84" s="415" t="s">
        <v>271</v>
      </c>
      <c r="M84" s="415" t="s">
        <v>70</v>
      </c>
      <c r="O84" s="420"/>
      <c r="Q84" s="405"/>
      <c r="R84" s="423"/>
      <c r="S84" s="400"/>
      <c r="T84" s="400"/>
      <c r="U84" s="400"/>
      <c r="V84" s="400"/>
      <c r="W84" s="400"/>
      <c r="X84" s="400"/>
      <c r="Y84" s="400"/>
      <c r="Z84" s="400"/>
      <c r="AA84" s="400"/>
      <c r="AB84" s="400"/>
      <c r="AC84" s="400"/>
      <c r="AD84" s="400"/>
      <c r="AE84" s="400"/>
      <c r="AF84" s="400"/>
      <c r="AG84" s="400"/>
      <c r="AH84" s="400"/>
      <c r="AI84" s="400"/>
      <c r="AJ84" s="400"/>
      <c r="AK84" s="400"/>
      <c r="AL84" s="400"/>
      <c r="AM84" s="400"/>
      <c r="AN84" s="400"/>
      <c r="AO84" s="400"/>
      <c r="AP84" s="400"/>
      <c r="AQ84" s="400"/>
      <c r="AR84" s="400"/>
      <c r="AS84" s="400"/>
      <c r="AT84" s="400"/>
      <c r="AU84" s="400"/>
      <c r="AV84" s="400"/>
      <c r="AW84" s="400"/>
      <c r="AX84" s="400"/>
      <c r="AY84" s="400"/>
      <c r="AZ84" s="400"/>
      <c r="BA84" s="400"/>
      <c r="BB84" s="400"/>
      <c r="BC84" s="400"/>
      <c r="BD84" s="400"/>
      <c r="BE84" s="400"/>
      <c r="BF84" s="400"/>
      <c r="BG84" s="400"/>
      <c r="BH84" s="400"/>
      <c r="BI84" s="400"/>
      <c r="BJ84" s="400"/>
      <c r="BK84" s="401"/>
    </row>
    <row r="85" spans="1:63" s="402" customFormat="1" ht="27.75" hidden="1" customHeight="1" x14ac:dyDescent="0.2">
      <c r="A85" s="435" t="s">
        <v>19</v>
      </c>
      <c r="B85" s="435">
        <v>101623</v>
      </c>
      <c r="C85" s="416" t="s">
        <v>20</v>
      </c>
      <c r="D85" s="416" t="s">
        <v>48</v>
      </c>
      <c r="E85" s="415" t="s">
        <v>22</v>
      </c>
      <c r="F85" s="415" t="s">
        <v>23</v>
      </c>
      <c r="G85" s="417">
        <v>45995</v>
      </c>
      <c r="H85" s="385" t="s">
        <v>272</v>
      </c>
      <c r="I85" s="418">
        <v>21785883</v>
      </c>
      <c r="J85" s="407" t="s">
        <v>273</v>
      </c>
      <c r="K85" s="415" t="s">
        <v>274</v>
      </c>
      <c r="L85" s="415" t="s">
        <v>274</v>
      </c>
      <c r="M85" s="415" t="s">
        <v>70</v>
      </c>
      <c r="O85" s="420"/>
      <c r="P85" s="415" t="s">
        <v>97</v>
      </c>
      <c r="Q85" s="405"/>
      <c r="R85" s="423"/>
      <c r="S85" s="424" t="s">
        <v>97</v>
      </c>
      <c r="T85" s="400"/>
      <c r="U85" s="400"/>
      <c r="V85" s="400"/>
      <c r="W85" s="400"/>
      <c r="X85" s="400"/>
      <c r="Y85" s="400"/>
      <c r="Z85" s="400"/>
      <c r="AA85" s="400"/>
      <c r="AB85" s="400"/>
      <c r="AC85" s="400"/>
      <c r="AD85" s="400"/>
      <c r="AE85" s="400"/>
      <c r="AF85" s="400"/>
      <c r="AG85" s="400"/>
      <c r="AH85" s="400"/>
      <c r="AI85" s="400"/>
      <c r="AJ85" s="400"/>
      <c r="AK85" s="400"/>
      <c r="AL85" s="400"/>
      <c r="AM85" s="400"/>
      <c r="AN85" s="400"/>
      <c r="AO85" s="400"/>
      <c r="AP85" s="400"/>
      <c r="AQ85" s="400"/>
      <c r="AR85" s="400"/>
      <c r="AS85" s="400"/>
      <c r="AT85" s="400"/>
      <c r="AU85" s="400"/>
      <c r="AV85" s="400"/>
      <c r="AW85" s="400"/>
      <c r="AX85" s="400"/>
      <c r="AY85" s="400"/>
      <c r="AZ85" s="400"/>
      <c r="BA85" s="400"/>
      <c r="BB85" s="400"/>
      <c r="BC85" s="400"/>
      <c r="BD85" s="400"/>
      <c r="BE85" s="400"/>
      <c r="BF85" s="400"/>
      <c r="BG85" s="400"/>
      <c r="BH85" s="400"/>
      <c r="BI85" s="400"/>
      <c r="BJ85" s="400"/>
      <c r="BK85" s="401"/>
    </row>
    <row r="86" spans="1:63" s="402" customFormat="1" ht="21.75" hidden="1" customHeight="1" x14ac:dyDescent="0.2">
      <c r="A86" s="415" t="s">
        <v>19</v>
      </c>
      <c r="B86" s="415">
        <v>101628</v>
      </c>
      <c r="C86" s="416" t="s">
        <v>252</v>
      </c>
      <c r="D86" s="416" t="s">
        <v>2</v>
      </c>
      <c r="E86" s="415" t="s">
        <v>22</v>
      </c>
      <c r="F86" s="415" t="s">
        <v>23</v>
      </c>
      <c r="G86" s="417">
        <v>46051</v>
      </c>
      <c r="H86" s="385" t="s">
        <v>275</v>
      </c>
      <c r="I86" s="418">
        <v>26062890</v>
      </c>
      <c r="J86" s="415">
        <v>71988670847</v>
      </c>
      <c r="K86" s="415" t="s">
        <v>276</v>
      </c>
      <c r="L86" s="415">
        <v>71987098461</v>
      </c>
      <c r="M86" s="415" t="s">
        <v>70</v>
      </c>
      <c r="O86" s="420"/>
      <c r="P86" s="402" t="s">
        <v>277</v>
      </c>
      <c r="Q86" s="405"/>
      <c r="R86" s="423" t="s">
        <v>278</v>
      </c>
      <c r="S86" s="400"/>
      <c r="T86" s="400"/>
      <c r="U86" s="400"/>
      <c r="V86" s="400"/>
      <c r="W86" s="400"/>
      <c r="X86" s="400"/>
      <c r="Y86" s="400"/>
      <c r="Z86" s="400"/>
      <c r="AA86" s="400"/>
      <c r="AB86" s="400"/>
      <c r="AC86" s="400"/>
      <c r="AD86" s="400"/>
      <c r="AE86" s="400"/>
      <c r="AF86" s="400"/>
      <c r="AG86" s="400"/>
      <c r="AH86" s="400"/>
      <c r="AI86" s="400"/>
      <c r="AJ86" s="400"/>
      <c r="AK86" s="400"/>
      <c r="AL86" s="400"/>
      <c r="AM86" s="400"/>
      <c r="AN86" s="400"/>
      <c r="AO86" s="400"/>
      <c r="AP86" s="400"/>
      <c r="AQ86" s="400"/>
      <c r="AR86" s="400"/>
      <c r="AS86" s="400"/>
      <c r="AT86" s="400"/>
      <c r="AU86" s="400"/>
      <c r="AV86" s="400"/>
      <c r="AW86" s="400"/>
      <c r="AX86" s="400"/>
      <c r="AY86" s="400"/>
      <c r="AZ86" s="400"/>
      <c r="BA86" s="400"/>
      <c r="BB86" s="400"/>
      <c r="BC86" s="400"/>
      <c r="BD86" s="400"/>
      <c r="BE86" s="400"/>
      <c r="BF86" s="400"/>
      <c r="BG86" s="400"/>
      <c r="BH86" s="400"/>
      <c r="BI86" s="400"/>
      <c r="BJ86" s="400"/>
      <c r="BK86" s="401"/>
    </row>
    <row r="87" spans="1:63" s="402" customFormat="1" ht="21" hidden="1" customHeight="1" x14ac:dyDescent="0.2">
      <c r="A87" s="381" t="s">
        <v>19</v>
      </c>
      <c r="B87" s="381">
        <v>101624</v>
      </c>
      <c r="C87" s="382" t="s">
        <v>20</v>
      </c>
      <c r="D87" s="382" t="s">
        <v>36</v>
      </c>
      <c r="E87" s="381" t="s">
        <v>22</v>
      </c>
      <c r="F87" s="381" t="s">
        <v>23</v>
      </c>
      <c r="G87" s="384">
        <v>45995</v>
      </c>
      <c r="H87" s="390" t="s">
        <v>279</v>
      </c>
      <c r="I87" s="393">
        <v>25053969</v>
      </c>
      <c r="J87" s="391" t="s">
        <v>280</v>
      </c>
      <c r="K87" s="381">
        <v>71986100983</v>
      </c>
      <c r="L87" s="381">
        <v>71986100983</v>
      </c>
      <c r="M87" s="381" t="s">
        <v>73</v>
      </c>
      <c r="N87" s="398" t="s">
        <v>157</v>
      </c>
      <c r="O87" s="421" t="s">
        <v>75</v>
      </c>
      <c r="P87" s="381"/>
      <c r="Q87" s="386"/>
      <c r="R87" s="399" t="s">
        <v>281</v>
      </c>
      <c r="S87" s="400"/>
      <c r="T87" s="400"/>
      <c r="U87" s="400"/>
      <c r="V87" s="400"/>
      <c r="W87" s="400"/>
      <c r="X87" s="400"/>
      <c r="Y87" s="400"/>
      <c r="Z87" s="400"/>
      <c r="AA87" s="400"/>
      <c r="AB87" s="400"/>
      <c r="AC87" s="400"/>
      <c r="AD87" s="400"/>
      <c r="AE87" s="400"/>
      <c r="AF87" s="400"/>
      <c r="AG87" s="400"/>
      <c r="AH87" s="400"/>
      <c r="AI87" s="400"/>
      <c r="AJ87" s="400"/>
      <c r="AK87" s="400"/>
      <c r="AL87" s="400"/>
      <c r="AM87" s="400"/>
      <c r="AN87" s="400"/>
      <c r="AO87" s="400"/>
      <c r="AP87" s="400"/>
      <c r="AQ87" s="400"/>
      <c r="AR87" s="400"/>
      <c r="AS87" s="400"/>
      <c r="AT87" s="400"/>
      <c r="AU87" s="400"/>
      <c r="AV87" s="400"/>
      <c r="AW87" s="400"/>
      <c r="AX87" s="400"/>
      <c r="AY87" s="400"/>
      <c r="AZ87" s="400"/>
      <c r="BA87" s="400"/>
      <c r="BB87" s="400"/>
      <c r="BC87" s="400"/>
      <c r="BD87" s="400"/>
      <c r="BE87" s="400"/>
      <c r="BF87" s="400"/>
      <c r="BG87" s="400"/>
      <c r="BH87" s="400"/>
      <c r="BI87" s="400"/>
      <c r="BJ87" s="400"/>
      <c r="BK87" s="401"/>
    </row>
    <row r="88" spans="1:63" s="402" customFormat="1" ht="21" hidden="1" customHeight="1" x14ac:dyDescent="0.2">
      <c r="A88" s="381" t="s">
        <v>19</v>
      </c>
      <c r="B88" s="381">
        <v>101631</v>
      </c>
      <c r="C88" s="382" t="s">
        <v>20</v>
      </c>
      <c r="D88" s="382" t="s">
        <v>27</v>
      </c>
      <c r="E88" s="381" t="s">
        <v>22</v>
      </c>
      <c r="F88" s="381" t="s">
        <v>23</v>
      </c>
      <c r="G88" s="384">
        <v>45986</v>
      </c>
      <c r="H88" s="390" t="s">
        <v>282</v>
      </c>
      <c r="I88" s="393">
        <v>25052551</v>
      </c>
      <c r="J88" s="437" t="s">
        <v>283</v>
      </c>
      <c r="K88" s="381">
        <v>71981247463</v>
      </c>
      <c r="L88" s="381">
        <v>71981247463</v>
      </c>
      <c r="M88" s="381" t="s">
        <v>284</v>
      </c>
      <c r="N88" s="398" t="s">
        <v>52</v>
      </c>
      <c r="O88" s="421" t="s">
        <v>75</v>
      </c>
      <c r="P88" s="381"/>
      <c r="Q88" s="386"/>
      <c r="R88" s="399" t="s">
        <v>285</v>
      </c>
      <c r="S88" s="400"/>
      <c r="T88" s="400"/>
      <c r="U88" s="400"/>
      <c r="V88" s="400"/>
      <c r="W88" s="400"/>
      <c r="X88" s="400"/>
      <c r="Y88" s="400"/>
      <c r="Z88" s="400"/>
      <c r="AA88" s="400"/>
      <c r="AB88" s="400"/>
      <c r="AC88" s="400"/>
      <c r="AD88" s="400"/>
      <c r="AE88" s="400"/>
      <c r="AF88" s="400"/>
      <c r="AG88" s="400"/>
      <c r="AH88" s="400"/>
      <c r="AI88" s="400"/>
      <c r="AJ88" s="400"/>
      <c r="AK88" s="400"/>
      <c r="AL88" s="400"/>
      <c r="AM88" s="400"/>
      <c r="AN88" s="400"/>
      <c r="AO88" s="400"/>
      <c r="AP88" s="400"/>
      <c r="AQ88" s="400"/>
      <c r="AR88" s="400"/>
      <c r="AS88" s="400"/>
      <c r="AT88" s="400"/>
      <c r="AU88" s="400"/>
      <c r="AV88" s="400"/>
      <c r="AW88" s="400"/>
      <c r="AX88" s="400"/>
      <c r="AY88" s="400"/>
      <c r="AZ88" s="400"/>
      <c r="BA88" s="400"/>
      <c r="BB88" s="400"/>
      <c r="BC88" s="400"/>
      <c r="BD88" s="400"/>
      <c r="BE88" s="400"/>
      <c r="BF88" s="400"/>
      <c r="BG88" s="400"/>
      <c r="BH88" s="400"/>
      <c r="BI88" s="400"/>
      <c r="BJ88" s="400"/>
      <c r="BK88" s="401"/>
    </row>
    <row r="89" spans="1:63" s="402" customFormat="1" ht="21" hidden="1" customHeight="1" x14ac:dyDescent="0.2">
      <c r="A89" s="381" t="s">
        <v>19</v>
      </c>
      <c r="B89" s="381">
        <v>101623</v>
      </c>
      <c r="C89" s="382" t="s">
        <v>20</v>
      </c>
      <c r="D89" s="382" t="s">
        <v>48</v>
      </c>
      <c r="E89" s="381" t="s">
        <v>22</v>
      </c>
      <c r="F89" s="381" t="s">
        <v>23</v>
      </c>
      <c r="G89" s="384">
        <v>45995</v>
      </c>
      <c r="H89" s="390" t="s">
        <v>286</v>
      </c>
      <c r="I89" s="393">
        <v>25054112</v>
      </c>
      <c r="J89" s="381" t="s">
        <v>287</v>
      </c>
      <c r="K89" s="381">
        <v>71982388476</v>
      </c>
      <c r="L89" s="381">
        <v>71982388476</v>
      </c>
      <c r="M89" s="381" t="s">
        <v>284</v>
      </c>
      <c r="O89" s="439"/>
      <c r="Q89" s="405"/>
      <c r="R89" s="423"/>
      <c r="S89" s="400"/>
      <c r="T89" s="400"/>
      <c r="U89" s="400"/>
      <c r="V89" s="400"/>
      <c r="W89" s="400"/>
      <c r="X89" s="400"/>
      <c r="Y89" s="400"/>
      <c r="Z89" s="400"/>
      <c r="AA89" s="400"/>
      <c r="AB89" s="400"/>
      <c r="AC89" s="400"/>
      <c r="AD89" s="400"/>
      <c r="AE89" s="400"/>
      <c r="AF89" s="400"/>
      <c r="AG89" s="400"/>
      <c r="AH89" s="400"/>
      <c r="AI89" s="400"/>
      <c r="AJ89" s="400"/>
      <c r="AK89" s="400"/>
      <c r="AL89" s="400"/>
      <c r="AM89" s="400"/>
      <c r="AN89" s="400"/>
      <c r="AO89" s="400"/>
      <c r="AP89" s="400"/>
      <c r="AQ89" s="400"/>
      <c r="AR89" s="400"/>
      <c r="AS89" s="400"/>
      <c r="AT89" s="400"/>
      <c r="AU89" s="400"/>
      <c r="AV89" s="400"/>
      <c r="AW89" s="400"/>
      <c r="AX89" s="400"/>
      <c r="AY89" s="400"/>
      <c r="AZ89" s="400"/>
      <c r="BA89" s="400"/>
      <c r="BB89" s="400"/>
      <c r="BC89" s="400"/>
      <c r="BD89" s="400"/>
      <c r="BE89" s="400"/>
      <c r="BF89" s="400"/>
      <c r="BG89" s="400"/>
      <c r="BH89" s="400"/>
      <c r="BI89" s="400"/>
      <c r="BJ89" s="400"/>
      <c r="BK89" s="401"/>
    </row>
    <row r="90" spans="1:63" s="402" customFormat="1" ht="21" hidden="1" customHeight="1" x14ac:dyDescent="0.2">
      <c r="A90" s="381" t="s">
        <v>19</v>
      </c>
      <c r="B90" s="381">
        <v>101631</v>
      </c>
      <c r="C90" s="382" t="s">
        <v>20</v>
      </c>
      <c r="D90" s="382" t="s">
        <v>27</v>
      </c>
      <c r="E90" s="381" t="s">
        <v>22</v>
      </c>
      <c r="F90" s="381" t="s">
        <v>23</v>
      </c>
      <c r="G90" s="384">
        <v>45995</v>
      </c>
      <c r="H90" s="390" t="s">
        <v>288</v>
      </c>
      <c r="I90" s="393">
        <v>25035449</v>
      </c>
      <c r="J90" s="381" t="s">
        <v>289</v>
      </c>
      <c r="K90" s="381">
        <v>71992804357</v>
      </c>
      <c r="L90" s="381">
        <v>71992804357</v>
      </c>
      <c r="M90" s="381" t="s">
        <v>284</v>
      </c>
      <c r="N90" s="381"/>
      <c r="O90" s="420"/>
      <c r="Q90" s="405"/>
      <c r="R90" s="423" t="s">
        <v>290</v>
      </c>
      <c r="S90" s="400"/>
      <c r="T90" s="400"/>
      <c r="U90" s="400"/>
      <c r="V90" s="400"/>
      <c r="W90" s="400"/>
      <c r="X90" s="400"/>
      <c r="Y90" s="400"/>
      <c r="Z90" s="400"/>
      <c r="AA90" s="400"/>
      <c r="AB90" s="400"/>
      <c r="AC90" s="400"/>
      <c r="AD90" s="400"/>
      <c r="AE90" s="400"/>
      <c r="AF90" s="400"/>
      <c r="AG90" s="400"/>
      <c r="AH90" s="400"/>
      <c r="AI90" s="400"/>
      <c r="AJ90" s="400"/>
      <c r="AK90" s="400"/>
      <c r="AL90" s="400"/>
      <c r="AM90" s="400"/>
      <c r="AN90" s="400"/>
      <c r="AO90" s="400"/>
      <c r="AP90" s="400"/>
      <c r="AQ90" s="400"/>
      <c r="AR90" s="400"/>
      <c r="AS90" s="400"/>
      <c r="AT90" s="400"/>
      <c r="AU90" s="400"/>
      <c r="AV90" s="400"/>
      <c r="AW90" s="400"/>
      <c r="AX90" s="400"/>
      <c r="AY90" s="400"/>
      <c r="AZ90" s="400"/>
      <c r="BA90" s="400"/>
      <c r="BB90" s="400"/>
      <c r="BC90" s="400"/>
      <c r="BD90" s="400"/>
      <c r="BE90" s="400"/>
      <c r="BF90" s="400"/>
      <c r="BG90" s="400"/>
      <c r="BH90" s="400"/>
      <c r="BI90" s="400"/>
      <c r="BJ90" s="400"/>
      <c r="BK90" s="401"/>
    </row>
    <row r="91" spans="1:63" s="402" customFormat="1" ht="21" hidden="1" customHeight="1" x14ac:dyDescent="0.2">
      <c r="A91" s="381" t="s">
        <v>19</v>
      </c>
      <c r="B91" s="381">
        <v>101627</v>
      </c>
      <c r="C91" s="382" t="s">
        <v>20</v>
      </c>
      <c r="D91" s="382" t="s">
        <v>44</v>
      </c>
      <c r="E91" s="381" t="s">
        <v>22</v>
      </c>
      <c r="F91" s="381" t="s">
        <v>23</v>
      </c>
      <c r="G91" s="384">
        <v>45980</v>
      </c>
      <c r="H91" s="390" t="s">
        <v>291</v>
      </c>
      <c r="I91" s="393">
        <v>25051549</v>
      </c>
      <c r="J91" s="381" t="s">
        <v>292</v>
      </c>
      <c r="K91" s="381">
        <v>71983149313</v>
      </c>
      <c r="L91" s="381">
        <v>71983149313</v>
      </c>
      <c r="M91" s="381" t="s">
        <v>284</v>
      </c>
      <c r="O91" s="420"/>
      <c r="Q91" s="405"/>
      <c r="R91" s="423"/>
      <c r="S91" s="400"/>
      <c r="T91" s="400"/>
      <c r="U91" s="400"/>
      <c r="V91" s="400"/>
      <c r="W91" s="400"/>
      <c r="X91" s="400"/>
      <c r="Y91" s="400"/>
      <c r="Z91" s="400"/>
      <c r="AA91" s="400"/>
      <c r="AB91" s="400"/>
      <c r="AC91" s="400"/>
      <c r="AD91" s="400"/>
      <c r="AE91" s="400"/>
      <c r="AF91" s="400"/>
      <c r="AG91" s="400"/>
      <c r="AH91" s="400"/>
      <c r="AI91" s="400"/>
      <c r="AJ91" s="400"/>
      <c r="AK91" s="400"/>
      <c r="AL91" s="400"/>
      <c r="AM91" s="400"/>
      <c r="AN91" s="400"/>
      <c r="AO91" s="400"/>
      <c r="AP91" s="400"/>
      <c r="AQ91" s="400"/>
      <c r="AR91" s="400"/>
      <c r="AS91" s="400"/>
      <c r="AT91" s="400"/>
      <c r="AU91" s="400"/>
      <c r="AV91" s="400"/>
      <c r="AW91" s="400"/>
      <c r="AX91" s="400"/>
      <c r="AY91" s="400"/>
      <c r="AZ91" s="400"/>
      <c r="BA91" s="400"/>
      <c r="BB91" s="400"/>
      <c r="BC91" s="400"/>
      <c r="BD91" s="400"/>
      <c r="BE91" s="400"/>
      <c r="BF91" s="400"/>
      <c r="BG91" s="400"/>
      <c r="BH91" s="400"/>
      <c r="BI91" s="400"/>
      <c r="BJ91" s="400"/>
      <c r="BK91" s="401"/>
    </row>
    <row r="92" spans="1:63" s="381" customFormat="1" ht="21" hidden="1" customHeight="1" x14ac:dyDescent="0.2">
      <c r="A92" s="381" t="s">
        <v>19</v>
      </c>
      <c r="B92" s="381">
        <v>101627</v>
      </c>
      <c r="C92" s="382" t="s">
        <v>20</v>
      </c>
      <c r="D92" s="382" t="s">
        <v>44</v>
      </c>
      <c r="E92" s="381" t="s">
        <v>22</v>
      </c>
      <c r="F92" s="381" t="s">
        <v>23</v>
      </c>
      <c r="G92" s="384">
        <v>45994</v>
      </c>
      <c r="H92" s="390" t="s">
        <v>293</v>
      </c>
      <c r="I92" s="393">
        <v>25053729</v>
      </c>
      <c r="J92" s="391" t="s">
        <v>294</v>
      </c>
      <c r="K92" s="381">
        <v>71988931888</v>
      </c>
      <c r="L92" s="381">
        <v>71988931888</v>
      </c>
      <c r="M92" s="381" t="s">
        <v>284</v>
      </c>
      <c r="N92" s="398" t="s">
        <v>52</v>
      </c>
      <c r="O92" s="411" t="s">
        <v>295</v>
      </c>
      <c r="Q92" s="386"/>
      <c r="R92" s="399" t="s">
        <v>296</v>
      </c>
      <c r="S92" s="387"/>
      <c r="T92" s="387"/>
      <c r="U92" s="387"/>
      <c r="V92" s="387"/>
      <c r="W92" s="387"/>
      <c r="X92" s="387"/>
      <c r="Y92" s="387"/>
      <c r="Z92" s="387"/>
      <c r="AA92" s="387"/>
      <c r="AB92" s="387"/>
      <c r="AC92" s="387"/>
      <c r="AD92" s="387"/>
      <c r="AE92" s="387"/>
      <c r="AF92" s="387"/>
      <c r="AG92" s="387"/>
      <c r="AH92" s="387"/>
      <c r="AI92" s="387"/>
      <c r="AJ92" s="387"/>
      <c r="AK92" s="387"/>
      <c r="AL92" s="387"/>
      <c r="AM92" s="387"/>
      <c r="AN92" s="387"/>
      <c r="AO92" s="387"/>
      <c r="AP92" s="387"/>
      <c r="AQ92" s="387"/>
      <c r="AR92" s="387"/>
      <c r="AS92" s="387"/>
      <c r="AT92" s="387"/>
      <c r="AU92" s="387"/>
      <c r="AV92" s="387"/>
      <c r="AW92" s="387"/>
      <c r="AX92" s="387"/>
      <c r="AY92" s="387"/>
      <c r="AZ92" s="387"/>
      <c r="BA92" s="387"/>
      <c r="BB92" s="387"/>
      <c r="BC92" s="387"/>
      <c r="BD92" s="387"/>
      <c r="BE92" s="387"/>
      <c r="BF92" s="387"/>
      <c r="BG92" s="387"/>
      <c r="BH92" s="387"/>
      <c r="BI92" s="387"/>
      <c r="BJ92" s="387"/>
      <c r="BK92" s="388"/>
    </row>
    <row r="93" spans="1:63" s="402" customFormat="1" ht="21" hidden="1" customHeight="1" x14ac:dyDescent="0.2">
      <c r="A93" s="415" t="s">
        <v>19</v>
      </c>
      <c r="B93" s="415">
        <v>101628</v>
      </c>
      <c r="C93" s="382" t="s">
        <v>20</v>
      </c>
      <c r="D93" s="416" t="s">
        <v>252</v>
      </c>
      <c r="E93" s="415" t="s">
        <v>22</v>
      </c>
      <c r="F93" s="415" t="s">
        <v>23</v>
      </c>
      <c r="G93" s="417">
        <v>45997</v>
      </c>
      <c r="H93" s="385" t="s">
        <v>297</v>
      </c>
      <c r="I93" s="418">
        <v>13353934</v>
      </c>
      <c r="J93" s="415" t="s">
        <v>298</v>
      </c>
      <c r="K93" s="415">
        <v>71984604364</v>
      </c>
      <c r="L93" s="415">
        <v>71984604364</v>
      </c>
      <c r="M93" s="415" t="s">
        <v>70</v>
      </c>
      <c r="O93" s="420"/>
      <c r="P93" s="415"/>
      <c r="Q93" s="405"/>
      <c r="R93" s="423"/>
      <c r="S93" s="400"/>
      <c r="T93" s="400"/>
      <c r="U93" s="400"/>
      <c r="V93" s="400"/>
      <c r="W93" s="400"/>
      <c r="X93" s="400"/>
      <c r="Y93" s="400"/>
      <c r="Z93" s="400"/>
      <c r="AA93" s="400"/>
      <c r="AB93" s="400"/>
      <c r="AC93" s="400"/>
      <c r="AD93" s="400"/>
      <c r="AE93" s="400"/>
      <c r="AF93" s="400"/>
      <c r="AG93" s="400"/>
      <c r="AH93" s="400"/>
      <c r="AI93" s="400"/>
      <c r="AJ93" s="400"/>
      <c r="AK93" s="400"/>
      <c r="AL93" s="400"/>
      <c r="AM93" s="400"/>
      <c r="AN93" s="400"/>
      <c r="AO93" s="400"/>
      <c r="AP93" s="400"/>
      <c r="AQ93" s="400"/>
      <c r="AR93" s="400"/>
      <c r="AS93" s="400"/>
      <c r="AT93" s="400"/>
      <c r="AU93" s="400"/>
      <c r="AV93" s="400"/>
      <c r="AW93" s="400"/>
      <c r="AX93" s="400"/>
      <c r="AY93" s="400"/>
      <c r="AZ93" s="400"/>
      <c r="BA93" s="400"/>
      <c r="BB93" s="400"/>
      <c r="BC93" s="400"/>
      <c r="BD93" s="400"/>
      <c r="BE93" s="400"/>
      <c r="BF93" s="400"/>
      <c r="BG93" s="400"/>
      <c r="BH93" s="400"/>
      <c r="BI93" s="400"/>
      <c r="BJ93" s="400"/>
      <c r="BK93" s="401"/>
    </row>
    <row r="94" spans="1:63" s="402" customFormat="1" ht="21" customHeight="1" x14ac:dyDescent="0.2">
      <c r="A94" s="381" t="s">
        <v>19</v>
      </c>
      <c r="B94" s="381">
        <v>101629</v>
      </c>
      <c r="C94" s="382" t="s">
        <v>20</v>
      </c>
      <c r="D94" s="382" t="s">
        <v>62</v>
      </c>
      <c r="E94" s="381" t="s">
        <v>22</v>
      </c>
      <c r="F94" s="381" t="s">
        <v>23</v>
      </c>
      <c r="G94" s="384">
        <v>45988</v>
      </c>
      <c r="H94" s="390" t="s">
        <v>299</v>
      </c>
      <c r="I94" s="393">
        <v>91152033</v>
      </c>
      <c r="J94" s="381" t="s">
        <v>300</v>
      </c>
      <c r="K94" s="381">
        <v>71981482911</v>
      </c>
      <c r="L94" s="381">
        <v>71981482911</v>
      </c>
      <c r="M94" s="381" t="s">
        <v>70</v>
      </c>
      <c r="N94" s="381" t="s">
        <v>157</v>
      </c>
      <c r="O94" s="421" t="s">
        <v>295</v>
      </c>
      <c r="P94" s="381"/>
      <c r="Q94" s="386"/>
      <c r="R94" s="399" t="s">
        <v>301</v>
      </c>
      <c r="S94" s="400"/>
      <c r="T94" s="400"/>
      <c r="U94" s="400"/>
      <c r="V94" s="400"/>
      <c r="W94" s="400"/>
      <c r="X94" s="400"/>
      <c r="Y94" s="400"/>
      <c r="Z94" s="400"/>
      <c r="AA94" s="400"/>
      <c r="AB94" s="400"/>
      <c r="AC94" s="400"/>
      <c r="AD94" s="400"/>
      <c r="AE94" s="400"/>
      <c r="AF94" s="400"/>
      <c r="AG94" s="400"/>
      <c r="AH94" s="400"/>
      <c r="AI94" s="400"/>
      <c r="AJ94" s="400"/>
      <c r="AK94" s="400"/>
      <c r="AL94" s="400"/>
      <c r="AM94" s="400"/>
      <c r="AN94" s="400"/>
      <c r="AO94" s="400"/>
      <c r="AP94" s="400"/>
      <c r="AQ94" s="400"/>
      <c r="AR94" s="400"/>
      <c r="AS94" s="400"/>
      <c r="AT94" s="400"/>
      <c r="AU94" s="400"/>
      <c r="AV94" s="400"/>
      <c r="AW94" s="400"/>
      <c r="AX94" s="400"/>
      <c r="AY94" s="400"/>
      <c r="AZ94" s="400"/>
      <c r="BA94" s="400"/>
      <c r="BB94" s="400"/>
      <c r="BC94" s="400"/>
      <c r="BD94" s="400"/>
      <c r="BE94" s="400"/>
      <c r="BF94" s="400"/>
      <c r="BG94" s="400"/>
      <c r="BH94" s="400"/>
      <c r="BI94" s="400"/>
      <c r="BJ94" s="400"/>
      <c r="BK94" s="401"/>
    </row>
    <row r="95" spans="1:63" s="402" customFormat="1" ht="21" hidden="1" customHeight="1" x14ac:dyDescent="0.2">
      <c r="A95" s="415" t="s">
        <v>19</v>
      </c>
      <c r="B95" s="415">
        <v>101627</v>
      </c>
      <c r="C95" s="416" t="s">
        <v>20</v>
      </c>
      <c r="D95" s="416" t="s">
        <v>44</v>
      </c>
      <c r="E95" s="415" t="s">
        <v>22</v>
      </c>
      <c r="F95" s="415" t="s">
        <v>23</v>
      </c>
      <c r="G95" s="417">
        <v>45996</v>
      </c>
      <c r="H95" s="385" t="s">
        <v>302</v>
      </c>
      <c r="I95" s="418">
        <v>232958261</v>
      </c>
      <c r="J95" s="415" t="s">
        <v>303</v>
      </c>
      <c r="K95" s="415">
        <v>16981842453</v>
      </c>
      <c r="L95" s="415">
        <v>16981842453</v>
      </c>
      <c r="M95" s="381" t="s">
        <v>70</v>
      </c>
      <c r="O95" s="420"/>
      <c r="P95" s="415" t="s">
        <v>97</v>
      </c>
      <c r="R95" s="423"/>
      <c r="S95" s="424" t="s">
        <v>97</v>
      </c>
      <c r="T95" s="400"/>
      <c r="U95" s="400"/>
      <c r="V95" s="400"/>
      <c r="W95" s="400"/>
      <c r="X95" s="400"/>
      <c r="Y95" s="400"/>
      <c r="Z95" s="400"/>
      <c r="AA95" s="400"/>
      <c r="AB95" s="400"/>
      <c r="AC95" s="400"/>
      <c r="AD95" s="400"/>
      <c r="AE95" s="400"/>
      <c r="AF95" s="400"/>
      <c r="AG95" s="400"/>
      <c r="AH95" s="400"/>
      <c r="AI95" s="400"/>
      <c r="AJ95" s="400"/>
      <c r="AK95" s="400"/>
      <c r="AL95" s="400"/>
      <c r="AM95" s="400"/>
      <c r="AN95" s="400"/>
      <c r="AO95" s="400"/>
      <c r="AP95" s="400"/>
      <c r="AQ95" s="400"/>
      <c r="AR95" s="400"/>
      <c r="AS95" s="400"/>
      <c r="AT95" s="400"/>
      <c r="AU95" s="400"/>
      <c r="AV95" s="400"/>
      <c r="AW95" s="400"/>
      <c r="AX95" s="400"/>
      <c r="AY95" s="400"/>
      <c r="AZ95" s="400"/>
      <c r="BA95" s="400"/>
      <c r="BB95" s="400"/>
      <c r="BC95" s="400"/>
      <c r="BD95" s="400"/>
      <c r="BE95" s="400"/>
      <c r="BF95" s="400"/>
      <c r="BG95" s="400"/>
      <c r="BH95" s="400"/>
      <c r="BI95" s="400"/>
      <c r="BJ95" s="400"/>
      <c r="BK95" s="401"/>
    </row>
    <row r="96" spans="1:63" s="402" customFormat="1" ht="21" hidden="1" customHeight="1" x14ac:dyDescent="0.2">
      <c r="A96" s="415" t="s">
        <v>19</v>
      </c>
      <c r="B96" s="415">
        <v>101625</v>
      </c>
      <c r="C96" s="416" t="s">
        <v>20</v>
      </c>
      <c r="D96" s="416" t="s">
        <v>187</v>
      </c>
      <c r="E96" s="415" t="s">
        <v>22</v>
      </c>
      <c r="F96" s="415" t="s">
        <v>23</v>
      </c>
      <c r="G96" s="417">
        <v>45980</v>
      </c>
      <c r="H96" s="385" t="s">
        <v>304</v>
      </c>
      <c r="I96" s="418">
        <v>25027566</v>
      </c>
      <c r="J96" s="415" t="s">
        <v>305</v>
      </c>
      <c r="K96" s="415">
        <v>71999793834</v>
      </c>
      <c r="L96" s="415">
        <v>71999793834</v>
      </c>
      <c r="M96" s="415" t="s">
        <v>70</v>
      </c>
      <c r="O96" s="420"/>
      <c r="Q96" s="405"/>
      <c r="R96" s="423"/>
      <c r="S96" s="400"/>
      <c r="T96" s="400"/>
      <c r="U96" s="400"/>
      <c r="V96" s="400"/>
      <c r="W96" s="400"/>
      <c r="X96" s="400"/>
      <c r="Y96" s="400"/>
      <c r="Z96" s="400"/>
      <c r="AA96" s="400"/>
      <c r="AB96" s="400"/>
      <c r="AC96" s="400"/>
      <c r="AD96" s="400"/>
      <c r="AE96" s="400"/>
      <c r="AF96" s="400"/>
      <c r="AG96" s="400"/>
      <c r="AH96" s="400"/>
      <c r="AI96" s="400"/>
      <c r="AJ96" s="400"/>
      <c r="AK96" s="400"/>
      <c r="AL96" s="400"/>
      <c r="AM96" s="400"/>
      <c r="AN96" s="400"/>
      <c r="AO96" s="400"/>
      <c r="AP96" s="400"/>
      <c r="AQ96" s="400"/>
      <c r="AR96" s="400"/>
      <c r="AS96" s="400"/>
      <c r="AT96" s="400"/>
      <c r="AU96" s="400"/>
      <c r="AV96" s="400"/>
      <c r="AW96" s="400"/>
      <c r="AX96" s="400"/>
      <c r="AY96" s="400"/>
      <c r="AZ96" s="400"/>
      <c r="BA96" s="400"/>
      <c r="BB96" s="400"/>
      <c r="BC96" s="400"/>
      <c r="BD96" s="400"/>
      <c r="BE96" s="400"/>
      <c r="BF96" s="400"/>
      <c r="BG96" s="400"/>
      <c r="BH96" s="400"/>
      <c r="BI96" s="400"/>
      <c r="BJ96" s="400"/>
      <c r="BK96" s="401"/>
    </row>
    <row r="97" spans="1:63" s="402" customFormat="1" ht="21" hidden="1" customHeight="1" x14ac:dyDescent="0.2">
      <c r="A97" s="381" t="s">
        <v>19</v>
      </c>
      <c r="B97" s="381">
        <v>101627</v>
      </c>
      <c r="C97" s="382" t="s">
        <v>20</v>
      </c>
      <c r="D97" s="382" t="s">
        <v>44</v>
      </c>
      <c r="E97" s="381" t="s">
        <v>22</v>
      </c>
      <c r="F97" s="381" t="s">
        <v>23</v>
      </c>
      <c r="G97" s="384">
        <v>46001</v>
      </c>
      <c r="H97" s="390" t="s">
        <v>306</v>
      </c>
      <c r="I97" s="393">
        <v>25054819</v>
      </c>
      <c r="J97" s="381" t="s">
        <v>307</v>
      </c>
      <c r="K97" s="381">
        <v>71991067309</v>
      </c>
      <c r="L97" s="381">
        <v>71991067309</v>
      </c>
      <c r="M97" s="381" t="s">
        <v>70</v>
      </c>
      <c r="O97" s="420"/>
      <c r="Q97" s="405"/>
      <c r="R97" s="423"/>
      <c r="S97" s="400"/>
      <c r="T97" s="400"/>
      <c r="U97" s="400"/>
      <c r="V97" s="400"/>
      <c r="W97" s="400"/>
      <c r="X97" s="400"/>
      <c r="Y97" s="400"/>
      <c r="Z97" s="400"/>
      <c r="AA97" s="400"/>
      <c r="AB97" s="400"/>
      <c r="AC97" s="400"/>
      <c r="AD97" s="400"/>
      <c r="AE97" s="400"/>
      <c r="AF97" s="400"/>
      <c r="AG97" s="400"/>
      <c r="AH97" s="400"/>
      <c r="AI97" s="400"/>
      <c r="AJ97" s="400"/>
      <c r="AK97" s="400"/>
      <c r="AL97" s="400"/>
      <c r="AM97" s="400"/>
      <c r="AN97" s="400"/>
      <c r="AO97" s="400"/>
      <c r="AP97" s="400"/>
      <c r="AQ97" s="400"/>
      <c r="AR97" s="400"/>
      <c r="AS97" s="400"/>
      <c r="AT97" s="400"/>
      <c r="AU97" s="400"/>
      <c r="AV97" s="400"/>
      <c r="AW97" s="400"/>
      <c r="AX97" s="400"/>
      <c r="AY97" s="400"/>
      <c r="AZ97" s="400"/>
      <c r="BA97" s="400"/>
      <c r="BB97" s="400"/>
      <c r="BC97" s="400"/>
      <c r="BD97" s="400"/>
      <c r="BE97" s="400"/>
      <c r="BF97" s="400"/>
      <c r="BG97" s="400"/>
      <c r="BH97" s="400"/>
      <c r="BI97" s="400"/>
      <c r="BJ97" s="400"/>
      <c r="BK97" s="401"/>
    </row>
    <row r="98" spans="1:63" s="381" customFormat="1" ht="21" hidden="1" customHeight="1" x14ac:dyDescent="0.2">
      <c r="A98" s="381" t="s">
        <v>19</v>
      </c>
      <c r="B98" s="381">
        <v>101623</v>
      </c>
      <c r="C98" s="382" t="s">
        <v>20</v>
      </c>
      <c r="D98" s="382" t="s">
        <v>48</v>
      </c>
      <c r="E98" s="381" t="s">
        <v>22</v>
      </c>
      <c r="F98" s="381" t="s">
        <v>23</v>
      </c>
      <c r="G98" s="384">
        <v>45994</v>
      </c>
      <c r="H98" s="390" t="s">
        <v>308</v>
      </c>
      <c r="I98" s="393">
        <v>23959769</v>
      </c>
      <c r="J98" s="381" t="s">
        <v>309</v>
      </c>
      <c r="K98" s="381">
        <v>71987137631</v>
      </c>
      <c r="L98" s="381">
        <v>71987137631</v>
      </c>
      <c r="M98" s="381" t="s">
        <v>310</v>
      </c>
      <c r="O98" s="382"/>
      <c r="P98" s="381" t="s">
        <v>97</v>
      </c>
      <c r="Q98" s="405"/>
      <c r="R98" s="399"/>
      <c r="S98" s="387" t="s">
        <v>97</v>
      </c>
      <c r="T98" s="387"/>
      <c r="U98" s="387"/>
      <c r="V98" s="387"/>
      <c r="W98" s="387"/>
      <c r="X98" s="387"/>
      <c r="Y98" s="387"/>
      <c r="Z98" s="387"/>
      <c r="AA98" s="387"/>
      <c r="AB98" s="387"/>
      <c r="AC98" s="387"/>
      <c r="AD98" s="387"/>
      <c r="AE98" s="387"/>
      <c r="AF98" s="387"/>
      <c r="AG98" s="387"/>
      <c r="AH98" s="387"/>
      <c r="AI98" s="387"/>
      <c r="AJ98" s="387"/>
      <c r="AK98" s="387"/>
      <c r="AL98" s="387"/>
      <c r="AM98" s="387"/>
      <c r="AN98" s="387"/>
      <c r="AO98" s="387"/>
      <c r="AP98" s="387"/>
      <c r="AQ98" s="387"/>
      <c r="AR98" s="387"/>
      <c r="AS98" s="387"/>
      <c r="AT98" s="387"/>
      <c r="AU98" s="387"/>
      <c r="AV98" s="387"/>
      <c r="AW98" s="387"/>
      <c r="AX98" s="387"/>
      <c r="AY98" s="387"/>
      <c r="AZ98" s="387"/>
      <c r="BA98" s="387"/>
      <c r="BB98" s="387"/>
      <c r="BC98" s="387"/>
      <c r="BD98" s="387"/>
      <c r="BE98" s="387"/>
      <c r="BF98" s="387"/>
      <c r="BG98" s="387"/>
      <c r="BH98" s="387"/>
      <c r="BI98" s="387"/>
      <c r="BJ98" s="387"/>
      <c r="BK98" s="388"/>
    </row>
    <row r="99" spans="1:63" s="402" customFormat="1" ht="25.5" hidden="1" customHeight="1" x14ac:dyDescent="0.2">
      <c r="A99" s="381" t="s">
        <v>19</v>
      </c>
      <c r="B99" s="381">
        <v>101623</v>
      </c>
      <c r="C99" s="389" t="s">
        <v>20</v>
      </c>
      <c r="D99" s="382" t="s">
        <v>48</v>
      </c>
      <c r="E99" s="381" t="s">
        <v>22</v>
      </c>
      <c r="F99" s="381" t="s">
        <v>23</v>
      </c>
      <c r="G99" s="384">
        <v>45997</v>
      </c>
      <c r="H99" s="390" t="s">
        <v>311</v>
      </c>
      <c r="I99" s="393">
        <v>25054297</v>
      </c>
      <c r="J99" s="391" t="s">
        <v>312</v>
      </c>
      <c r="K99" s="381">
        <v>71984756679</v>
      </c>
      <c r="L99" s="381">
        <v>71984756679</v>
      </c>
      <c r="M99" s="381" t="s">
        <v>70</v>
      </c>
      <c r="N99" s="381"/>
      <c r="O99" s="411" t="s">
        <v>313</v>
      </c>
      <c r="P99" s="381"/>
      <c r="Q99" s="386"/>
      <c r="R99" s="399" t="s">
        <v>314</v>
      </c>
      <c r="S99" s="400"/>
      <c r="T99" s="400"/>
      <c r="U99" s="400"/>
      <c r="V99" s="400"/>
      <c r="W99" s="400"/>
      <c r="X99" s="400"/>
      <c r="Y99" s="400"/>
      <c r="Z99" s="400"/>
      <c r="AA99" s="400"/>
      <c r="AB99" s="400"/>
      <c r="AC99" s="400"/>
      <c r="AD99" s="400"/>
      <c r="AE99" s="400"/>
      <c r="AF99" s="400"/>
      <c r="AG99" s="400"/>
      <c r="AH99" s="400"/>
      <c r="AI99" s="400"/>
      <c r="AJ99" s="400"/>
      <c r="AK99" s="400"/>
      <c r="AL99" s="400"/>
      <c r="AM99" s="400"/>
      <c r="AN99" s="400"/>
      <c r="AO99" s="400"/>
      <c r="AP99" s="400"/>
      <c r="AQ99" s="400"/>
      <c r="AR99" s="400"/>
      <c r="AS99" s="400"/>
      <c r="AT99" s="400"/>
      <c r="AU99" s="400"/>
      <c r="AV99" s="400"/>
      <c r="AW99" s="400"/>
      <c r="AX99" s="400"/>
      <c r="AY99" s="400"/>
      <c r="AZ99" s="400"/>
      <c r="BA99" s="400"/>
      <c r="BB99" s="400"/>
      <c r="BC99" s="400"/>
      <c r="BD99" s="400"/>
      <c r="BE99" s="400"/>
      <c r="BF99" s="400"/>
      <c r="BG99" s="400"/>
      <c r="BH99" s="400"/>
      <c r="BI99" s="400"/>
      <c r="BJ99" s="400"/>
      <c r="BK99" s="401"/>
    </row>
    <row r="100" spans="1:63" s="402" customFormat="1" ht="25.5" hidden="1" customHeight="1" x14ac:dyDescent="0.2">
      <c r="A100" s="383" t="s">
        <v>19</v>
      </c>
      <c r="B100" s="383">
        <v>101623</v>
      </c>
      <c r="C100" s="383" t="s">
        <v>20</v>
      </c>
      <c r="D100" s="389" t="s">
        <v>48</v>
      </c>
      <c r="E100" s="381" t="s">
        <v>22</v>
      </c>
      <c r="F100" s="381" t="s">
        <v>23</v>
      </c>
      <c r="G100" s="395">
        <v>45993</v>
      </c>
      <c r="H100" s="404" t="s">
        <v>315</v>
      </c>
      <c r="I100" s="408">
        <v>25053581</v>
      </c>
      <c r="J100" s="440" t="s">
        <v>316</v>
      </c>
      <c r="K100" s="383" t="s">
        <v>317</v>
      </c>
      <c r="L100" s="383" t="s">
        <v>317</v>
      </c>
      <c r="M100" s="410" t="s">
        <v>70</v>
      </c>
      <c r="N100" s="394" t="s">
        <v>52</v>
      </c>
      <c r="O100" s="421" t="s">
        <v>75</v>
      </c>
      <c r="P100" s="381"/>
      <c r="Q100" s="386"/>
      <c r="R100" s="441" t="s">
        <v>318</v>
      </c>
      <c r="S100" s="400"/>
      <c r="T100" s="400"/>
      <c r="U100" s="400"/>
      <c r="V100" s="400"/>
      <c r="W100" s="400"/>
      <c r="X100" s="400"/>
      <c r="Y100" s="400"/>
      <c r="Z100" s="400"/>
      <c r="AA100" s="400"/>
      <c r="AB100" s="400"/>
      <c r="AC100" s="400"/>
      <c r="AD100" s="400"/>
      <c r="AE100" s="400"/>
      <c r="AF100" s="400"/>
      <c r="AG100" s="400"/>
      <c r="AH100" s="400"/>
      <c r="AI100" s="400"/>
      <c r="AJ100" s="400"/>
      <c r="AK100" s="400"/>
      <c r="AL100" s="400"/>
      <c r="AM100" s="400"/>
      <c r="AN100" s="400"/>
      <c r="AO100" s="400"/>
      <c r="AP100" s="400"/>
      <c r="AQ100" s="400"/>
      <c r="AR100" s="400"/>
      <c r="AS100" s="400"/>
      <c r="AT100" s="400"/>
      <c r="AU100" s="400"/>
      <c r="AV100" s="400"/>
      <c r="AW100" s="400"/>
      <c r="AX100" s="400"/>
      <c r="AY100" s="400"/>
      <c r="AZ100" s="400"/>
      <c r="BA100" s="400"/>
      <c r="BB100" s="400"/>
      <c r="BC100" s="400"/>
      <c r="BD100" s="400"/>
      <c r="BE100" s="400"/>
      <c r="BF100" s="400"/>
      <c r="BG100" s="400"/>
      <c r="BH100" s="400"/>
      <c r="BI100" s="400"/>
      <c r="BJ100" s="400"/>
      <c r="BK100" s="401"/>
    </row>
    <row r="101" spans="1:63" s="402" customFormat="1" ht="21" hidden="1" customHeight="1" x14ac:dyDescent="0.2">
      <c r="A101" s="381" t="s">
        <v>319</v>
      </c>
      <c r="B101" s="381">
        <v>101628</v>
      </c>
      <c r="C101" s="382" t="s">
        <v>20</v>
      </c>
      <c r="D101" s="382" t="s">
        <v>252</v>
      </c>
      <c r="E101" s="381" t="s">
        <v>22</v>
      </c>
      <c r="F101" s="381" t="s">
        <v>23</v>
      </c>
      <c r="G101" s="384">
        <v>45981</v>
      </c>
      <c r="H101" s="390" t="s">
        <v>320</v>
      </c>
      <c r="I101" s="393">
        <v>25051604</v>
      </c>
      <c r="J101" s="391" t="s">
        <v>321</v>
      </c>
      <c r="K101" s="381">
        <v>71992645273</v>
      </c>
      <c r="L101" s="381">
        <v>71992645273</v>
      </c>
      <c r="M101" s="381" t="s">
        <v>70</v>
      </c>
      <c r="N101" s="381"/>
      <c r="O101" s="411" t="s">
        <v>322</v>
      </c>
      <c r="P101" s="381"/>
      <c r="Q101" s="386"/>
      <c r="R101" s="399" t="s">
        <v>323</v>
      </c>
      <c r="S101" s="400"/>
      <c r="T101" s="400"/>
      <c r="U101" s="400"/>
      <c r="V101" s="400"/>
      <c r="W101" s="400"/>
      <c r="X101" s="400"/>
      <c r="Y101" s="400"/>
      <c r="Z101" s="400"/>
      <c r="AA101" s="400"/>
      <c r="AB101" s="400"/>
      <c r="AC101" s="400"/>
      <c r="AD101" s="400"/>
      <c r="AE101" s="400"/>
      <c r="AF101" s="400"/>
      <c r="AG101" s="400"/>
      <c r="AH101" s="400"/>
      <c r="AI101" s="400"/>
      <c r="AJ101" s="400"/>
      <c r="AK101" s="400"/>
      <c r="AL101" s="400"/>
      <c r="AM101" s="400"/>
      <c r="AN101" s="400"/>
      <c r="AO101" s="400"/>
      <c r="AP101" s="400"/>
      <c r="AQ101" s="400"/>
      <c r="AR101" s="400"/>
      <c r="AS101" s="400"/>
      <c r="AT101" s="400"/>
      <c r="AU101" s="400"/>
      <c r="AV101" s="400"/>
      <c r="AW101" s="400"/>
      <c r="AX101" s="400"/>
      <c r="AY101" s="400"/>
      <c r="AZ101" s="400"/>
      <c r="BA101" s="400"/>
      <c r="BB101" s="400"/>
      <c r="BC101" s="400"/>
      <c r="BD101" s="400"/>
      <c r="BE101" s="400"/>
      <c r="BF101" s="400"/>
      <c r="BG101" s="400"/>
      <c r="BH101" s="400"/>
      <c r="BI101" s="400"/>
      <c r="BJ101" s="400"/>
      <c r="BK101" s="401"/>
    </row>
    <row r="102" spans="1:63" s="402" customFormat="1" ht="21" hidden="1" customHeight="1" x14ac:dyDescent="0.2">
      <c r="A102" s="381" t="s">
        <v>19</v>
      </c>
      <c r="B102" s="381">
        <v>101624</v>
      </c>
      <c r="C102" s="382" t="s">
        <v>20</v>
      </c>
      <c r="D102" s="382" t="s">
        <v>36</v>
      </c>
      <c r="E102" s="381" t="s">
        <v>22</v>
      </c>
      <c r="F102" s="381" t="s">
        <v>23</v>
      </c>
      <c r="G102" s="384">
        <v>46002</v>
      </c>
      <c r="H102" s="390" t="s">
        <v>324</v>
      </c>
      <c r="I102" s="393">
        <v>25055273</v>
      </c>
      <c r="J102" s="391" t="s">
        <v>325</v>
      </c>
      <c r="K102" s="381">
        <v>71981482938</v>
      </c>
      <c r="L102" s="381">
        <v>71981482938</v>
      </c>
      <c r="M102" s="381" t="s">
        <v>70</v>
      </c>
      <c r="N102" s="381"/>
      <c r="O102" s="411" t="s">
        <v>75</v>
      </c>
      <c r="P102" s="381"/>
      <c r="Q102" s="386"/>
      <c r="R102" s="399" t="s">
        <v>326</v>
      </c>
      <c r="S102" s="400"/>
      <c r="T102" s="400"/>
      <c r="U102" s="400"/>
      <c r="V102" s="400"/>
      <c r="W102" s="400"/>
      <c r="X102" s="400"/>
      <c r="Y102" s="400"/>
      <c r="Z102" s="400"/>
      <c r="AA102" s="400"/>
      <c r="AB102" s="400"/>
      <c r="AC102" s="400"/>
      <c r="AD102" s="400"/>
      <c r="AE102" s="400"/>
      <c r="AF102" s="400"/>
      <c r="AG102" s="400"/>
      <c r="AH102" s="400"/>
      <c r="AI102" s="400"/>
      <c r="AJ102" s="400"/>
      <c r="AK102" s="400"/>
      <c r="AL102" s="400"/>
      <c r="AM102" s="400"/>
      <c r="AN102" s="400"/>
      <c r="AO102" s="400"/>
      <c r="AP102" s="400"/>
      <c r="AQ102" s="400"/>
      <c r="AR102" s="400"/>
      <c r="AS102" s="400"/>
      <c r="AT102" s="400"/>
      <c r="AU102" s="400"/>
      <c r="AV102" s="400"/>
      <c r="AW102" s="400"/>
      <c r="AX102" s="400"/>
      <c r="AY102" s="400"/>
      <c r="AZ102" s="400"/>
      <c r="BA102" s="400"/>
      <c r="BB102" s="400"/>
      <c r="BC102" s="400"/>
      <c r="BD102" s="400"/>
      <c r="BE102" s="400"/>
      <c r="BF102" s="400"/>
      <c r="BG102" s="400"/>
      <c r="BH102" s="400"/>
      <c r="BI102" s="400"/>
      <c r="BJ102" s="400"/>
      <c r="BK102" s="401"/>
    </row>
    <row r="103" spans="1:63" s="402" customFormat="1" ht="21" customHeight="1" x14ac:dyDescent="0.2">
      <c r="A103" s="415" t="s">
        <v>19</v>
      </c>
      <c r="B103" s="415">
        <v>101629</v>
      </c>
      <c r="C103" s="416" t="s">
        <v>20</v>
      </c>
      <c r="D103" s="416" t="s">
        <v>62</v>
      </c>
      <c r="E103" s="415" t="s">
        <v>22</v>
      </c>
      <c r="F103" s="415" t="s">
        <v>23</v>
      </c>
      <c r="G103" s="417">
        <v>45986</v>
      </c>
      <c r="H103" s="385" t="s">
        <v>327</v>
      </c>
      <c r="I103" s="418">
        <v>25052630</v>
      </c>
      <c r="J103" s="436" t="s">
        <v>328</v>
      </c>
      <c r="K103" s="415">
        <v>71991408521</v>
      </c>
      <c r="L103" s="415">
        <v>71991408521</v>
      </c>
      <c r="M103" s="415" t="s">
        <v>70</v>
      </c>
      <c r="O103" s="411" t="s">
        <v>329</v>
      </c>
      <c r="P103" s="381"/>
      <c r="Q103" s="386"/>
      <c r="R103" s="399" t="s">
        <v>330</v>
      </c>
      <c r="S103" s="400"/>
      <c r="T103" s="400"/>
      <c r="U103" s="400"/>
      <c r="V103" s="400"/>
      <c r="W103" s="400"/>
      <c r="X103" s="400"/>
      <c r="Y103" s="400"/>
      <c r="Z103" s="400"/>
      <c r="AA103" s="400"/>
      <c r="AB103" s="400"/>
      <c r="AC103" s="400"/>
      <c r="AD103" s="400"/>
      <c r="AE103" s="400"/>
      <c r="AF103" s="400"/>
      <c r="AG103" s="400"/>
      <c r="AH103" s="400"/>
      <c r="AI103" s="400"/>
      <c r="AJ103" s="400"/>
      <c r="AK103" s="400"/>
      <c r="AL103" s="400"/>
      <c r="AM103" s="400"/>
      <c r="AN103" s="400"/>
      <c r="AO103" s="400"/>
      <c r="AP103" s="400"/>
      <c r="AQ103" s="400"/>
      <c r="AR103" s="400"/>
      <c r="AS103" s="400"/>
      <c r="AT103" s="400"/>
      <c r="AU103" s="400"/>
      <c r="AV103" s="400"/>
      <c r="AW103" s="400"/>
      <c r="AX103" s="400"/>
      <c r="AY103" s="400"/>
      <c r="AZ103" s="400"/>
      <c r="BA103" s="400"/>
      <c r="BB103" s="400"/>
      <c r="BC103" s="400"/>
      <c r="BD103" s="400"/>
      <c r="BE103" s="400"/>
      <c r="BF103" s="400"/>
      <c r="BG103" s="400"/>
      <c r="BH103" s="400"/>
      <c r="BI103" s="400"/>
      <c r="BJ103" s="400"/>
      <c r="BK103" s="401"/>
    </row>
    <row r="104" spans="1:63" s="402" customFormat="1" ht="21" hidden="1" customHeight="1" x14ac:dyDescent="0.2">
      <c r="A104" s="381" t="s">
        <v>19</v>
      </c>
      <c r="B104" s="381">
        <v>101631</v>
      </c>
      <c r="C104" s="382" t="s">
        <v>20</v>
      </c>
      <c r="D104" s="382" t="s">
        <v>27</v>
      </c>
      <c r="E104" s="381" t="s">
        <v>22</v>
      </c>
      <c r="F104" s="381" t="s">
        <v>23</v>
      </c>
      <c r="G104" s="384">
        <v>45992</v>
      </c>
      <c r="H104" s="390" t="s">
        <v>331</v>
      </c>
      <c r="I104" s="393">
        <v>25053345</v>
      </c>
      <c r="J104" s="391" t="s">
        <v>332</v>
      </c>
      <c r="K104" s="381">
        <v>71984060892</v>
      </c>
      <c r="L104" s="381">
        <v>71984060892</v>
      </c>
      <c r="M104" s="381" t="s">
        <v>333</v>
      </c>
      <c r="N104" s="381"/>
      <c r="O104" s="411" t="s">
        <v>75</v>
      </c>
      <c r="P104" s="381"/>
      <c r="Q104" s="386"/>
      <c r="R104" s="399" t="s">
        <v>334</v>
      </c>
      <c r="S104" s="400"/>
      <c r="T104" s="400"/>
      <c r="U104" s="400"/>
      <c r="V104" s="400"/>
      <c r="W104" s="400"/>
      <c r="X104" s="400"/>
      <c r="Y104" s="400"/>
      <c r="Z104" s="400"/>
      <c r="AA104" s="400"/>
      <c r="AB104" s="400"/>
      <c r="AC104" s="400"/>
      <c r="AD104" s="400"/>
      <c r="AE104" s="400"/>
      <c r="AF104" s="400"/>
      <c r="AG104" s="400"/>
      <c r="AH104" s="400"/>
      <c r="AI104" s="400"/>
      <c r="AJ104" s="400"/>
      <c r="AK104" s="400"/>
      <c r="AL104" s="400"/>
      <c r="AM104" s="400"/>
      <c r="AN104" s="400"/>
      <c r="AO104" s="400"/>
      <c r="AP104" s="400"/>
      <c r="AQ104" s="400"/>
      <c r="AR104" s="400"/>
      <c r="AS104" s="400"/>
      <c r="AT104" s="400"/>
      <c r="AU104" s="400"/>
      <c r="AV104" s="400"/>
      <c r="AW104" s="400"/>
      <c r="AX104" s="400"/>
      <c r="AY104" s="400"/>
      <c r="AZ104" s="400"/>
      <c r="BA104" s="400"/>
      <c r="BB104" s="400"/>
      <c r="BC104" s="400"/>
      <c r="BD104" s="400"/>
      <c r="BE104" s="400"/>
      <c r="BF104" s="400"/>
      <c r="BG104" s="400"/>
      <c r="BH104" s="400"/>
      <c r="BI104" s="400"/>
      <c r="BJ104" s="400"/>
      <c r="BK104" s="401"/>
    </row>
    <row r="105" spans="1:63" s="381" customFormat="1" ht="21" hidden="1" customHeight="1" x14ac:dyDescent="0.2">
      <c r="A105" s="381" t="s">
        <v>19</v>
      </c>
      <c r="B105" s="381">
        <v>101630</v>
      </c>
      <c r="C105" s="382" t="s">
        <v>20</v>
      </c>
      <c r="D105" s="382" t="s">
        <v>40</v>
      </c>
      <c r="E105" s="381" t="s">
        <v>22</v>
      </c>
      <c r="F105" s="381" t="s">
        <v>23</v>
      </c>
      <c r="G105" s="384">
        <v>46003</v>
      </c>
      <c r="H105" s="390" t="s">
        <v>335</v>
      </c>
      <c r="I105" s="393">
        <v>232003910</v>
      </c>
      <c r="J105" s="381" t="s">
        <v>336</v>
      </c>
      <c r="K105" s="381">
        <v>71996356695</v>
      </c>
      <c r="L105" s="381">
        <v>71996356695</v>
      </c>
      <c r="M105" s="381" t="s">
        <v>310</v>
      </c>
      <c r="O105" s="382"/>
      <c r="P105" s="381" t="s">
        <v>132</v>
      </c>
      <c r="Q105" s="386" t="s">
        <v>128</v>
      </c>
      <c r="R105" s="423" t="s">
        <v>337</v>
      </c>
      <c r="S105" s="387" t="s">
        <v>277</v>
      </c>
      <c r="T105" s="387"/>
      <c r="U105" s="387"/>
      <c r="V105" s="387"/>
      <c r="W105" s="387"/>
      <c r="X105" s="387"/>
      <c r="Y105" s="387"/>
      <c r="Z105" s="387"/>
      <c r="AA105" s="387"/>
      <c r="AB105" s="387"/>
      <c r="AC105" s="387"/>
      <c r="AD105" s="387"/>
      <c r="AE105" s="387"/>
      <c r="AF105" s="387"/>
      <c r="AG105" s="387"/>
      <c r="AH105" s="387"/>
      <c r="AI105" s="387"/>
      <c r="AJ105" s="387"/>
      <c r="AK105" s="387"/>
      <c r="AL105" s="387"/>
      <c r="AM105" s="387"/>
      <c r="AN105" s="387"/>
      <c r="AO105" s="387"/>
      <c r="AP105" s="387"/>
      <c r="AQ105" s="387"/>
      <c r="AR105" s="387"/>
      <c r="AS105" s="387"/>
      <c r="AT105" s="387"/>
      <c r="AU105" s="387"/>
      <c r="AV105" s="387"/>
      <c r="AW105" s="387"/>
      <c r="AX105" s="387"/>
      <c r="AY105" s="387"/>
      <c r="AZ105" s="387"/>
      <c r="BA105" s="387"/>
      <c r="BB105" s="387"/>
      <c r="BC105" s="387"/>
      <c r="BD105" s="387"/>
      <c r="BE105" s="387"/>
      <c r="BF105" s="387"/>
      <c r="BG105" s="387"/>
      <c r="BH105" s="387"/>
      <c r="BI105" s="387"/>
      <c r="BJ105" s="387"/>
      <c r="BK105" s="388"/>
    </row>
    <row r="106" spans="1:63" s="381" customFormat="1" ht="21" hidden="1" customHeight="1" x14ac:dyDescent="0.2">
      <c r="A106" s="381" t="s">
        <v>19</v>
      </c>
      <c r="B106" s="381">
        <v>101630</v>
      </c>
      <c r="C106" s="382" t="s">
        <v>20</v>
      </c>
      <c r="D106" s="382" t="s">
        <v>40</v>
      </c>
      <c r="E106" s="381" t="s">
        <v>22</v>
      </c>
      <c r="F106" s="381" t="s">
        <v>23</v>
      </c>
      <c r="G106" s="384">
        <v>46002</v>
      </c>
      <c r="H106" s="390" t="s">
        <v>338</v>
      </c>
      <c r="I106" s="393">
        <v>25055084</v>
      </c>
      <c r="J106" s="381" t="s">
        <v>339</v>
      </c>
      <c r="K106" s="381">
        <v>71982153641</v>
      </c>
      <c r="L106" s="381">
        <v>71982153641</v>
      </c>
      <c r="M106" s="381" t="s">
        <v>310</v>
      </c>
      <c r="O106" s="382"/>
      <c r="Q106" s="386"/>
      <c r="R106" s="399"/>
      <c r="S106" s="387"/>
      <c r="T106" s="387"/>
      <c r="U106" s="387"/>
      <c r="V106" s="387"/>
      <c r="W106" s="387"/>
      <c r="X106" s="387"/>
      <c r="Y106" s="387"/>
      <c r="Z106" s="387"/>
      <c r="AA106" s="387"/>
      <c r="AB106" s="387"/>
      <c r="AC106" s="387"/>
      <c r="AD106" s="387"/>
      <c r="AE106" s="387"/>
      <c r="AF106" s="387"/>
      <c r="AG106" s="387"/>
      <c r="AH106" s="387"/>
      <c r="AI106" s="387"/>
      <c r="AJ106" s="387"/>
      <c r="AK106" s="387"/>
      <c r="AL106" s="387"/>
      <c r="AM106" s="387"/>
      <c r="AN106" s="387"/>
      <c r="AO106" s="387"/>
      <c r="AP106" s="387"/>
      <c r="AQ106" s="387"/>
      <c r="AR106" s="387"/>
      <c r="AS106" s="387"/>
      <c r="AT106" s="387"/>
      <c r="AU106" s="387"/>
      <c r="AV106" s="387"/>
      <c r="AW106" s="387"/>
      <c r="AX106" s="387"/>
      <c r="AY106" s="387"/>
      <c r="AZ106" s="387"/>
      <c r="BA106" s="387"/>
      <c r="BB106" s="387"/>
      <c r="BC106" s="387"/>
      <c r="BD106" s="387"/>
      <c r="BE106" s="387"/>
      <c r="BF106" s="387"/>
      <c r="BG106" s="387"/>
      <c r="BH106" s="387"/>
      <c r="BI106" s="387"/>
      <c r="BJ106" s="387"/>
      <c r="BK106" s="388"/>
    </row>
    <row r="107" spans="1:63" s="381" customFormat="1" ht="21" customHeight="1" x14ac:dyDescent="0.2">
      <c r="A107" s="381" t="s">
        <v>19</v>
      </c>
      <c r="B107" s="381">
        <v>101629</v>
      </c>
      <c r="C107" s="382" t="s">
        <v>20</v>
      </c>
      <c r="D107" s="382" t="s">
        <v>62</v>
      </c>
      <c r="E107" s="381" t="s">
        <v>22</v>
      </c>
      <c r="F107" s="381" t="s">
        <v>23</v>
      </c>
      <c r="G107" s="384">
        <v>46001</v>
      </c>
      <c r="H107" s="390" t="s">
        <v>340</v>
      </c>
      <c r="I107" s="393">
        <v>91183626</v>
      </c>
      <c r="J107" s="381" t="s">
        <v>341</v>
      </c>
      <c r="L107" s="381">
        <v>71984175299</v>
      </c>
      <c r="M107" s="381" t="s">
        <v>310</v>
      </c>
      <c r="O107" s="382"/>
      <c r="Q107" s="386"/>
      <c r="R107" s="399"/>
      <c r="S107" s="387"/>
      <c r="T107" s="387"/>
      <c r="U107" s="387"/>
      <c r="V107" s="387"/>
      <c r="W107" s="387"/>
      <c r="X107" s="387"/>
      <c r="Y107" s="387"/>
      <c r="Z107" s="387"/>
      <c r="AA107" s="387"/>
      <c r="AB107" s="387"/>
      <c r="AC107" s="387"/>
      <c r="AD107" s="387"/>
      <c r="AE107" s="387"/>
      <c r="AF107" s="387"/>
      <c r="AG107" s="387"/>
      <c r="AH107" s="387"/>
      <c r="AI107" s="387"/>
      <c r="AJ107" s="387"/>
      <c r="AK107" s="387"/>
      <c r="AL107" s="387"/>
      <c r="AM107" s="387"/>
      <c r="AN107" s="387"/>
      <c r="AO107" s="387"/>
      <c r="AP107" s="387"/>
      <c r="AQ107" s="387"/>
      <c r="AR107" s="387"/>
      <c r="AS107" s="387"/>
      <c r="AT107" s="387"/>
      <c r="AU107" s="387"/>
      <c r="AV107" s="387"/>
      <c r="AW107" s="387"/>
      <c r="AX107" s="387"/>
      <c r="AY107" s="387"/>
      <c r="AZ107" s="387"/>
      <c r="BA107" s="387"/>
      <c r="BB107" s="387"/>
      <c r="BC107" s="387"/>
      <c r="BD107" s="387"/>
      <c r="BE107" s="387"/>
      <c r="BF107" s="387"/>
      <c r="BG107" s="387"/>
      <c r="BH107" s="387"/>
      <c r="BI107" s="387"/>
      <c r="BJ107" s="387"/>
      <c r="BK107" s="388"/>
    </row>
    <row r="108" spans="1:63" s="402" customFormat="1" ht="21" hidden="1" customHeight="1" x14ac:dyDescent="0.2">
      <c r="A108" s="381" t="s">
        <v>19</v>
      </c>
      <c r="B108" s="381">
        <v>101624</v>
      </c>
      <c r="C108" s="382" t="s">
        <v>20</v>
      </c>
      <c r="D108" s="382" t="s">
        <v>36</v>
      </c>
      <c r="E108" s="381" t="s">
        <v>22</v>
      </c>
      <c r="F108" s="381" t="s">
        <v>23</v>
      </c>
      <c r="G108" s="384">
        <v>46003</v>
      </c>
      <c r="H108" s="390" t="s">
        <v>342</v>
      </c>
      <c r="I108" s="393">
        <v>25055325</v>
      </c>
      <c r="J108" s="391" t="s">
        <v>343</v>
      </c>
      <c r="K108" s="381">
        <v>71996030708</v>
      </c>
      <c r="L108" s="381">
        <v>71996030708</v>
      </c>
      <c r="M108" s="381" t="s">
        <v>182</v>
      </c>
      <c r="N108" s="381"/>
      <c r="O108" s="382" t="s">
        <v>344</v>
      </c>
      <c r="P108" s="381" t="s">
        <v>132</v>
      </c>
      <c r="Q108" s="386"/>
      <c r="R108" s="399" t="s">
        <v>345</v>
      </c>
      <c r="S108" s="424" t="s">
        <v>97</v>
      </c>
      <c r="T108" s="400"/>
      <c r="U108" s="400"/>
      <c r="V108" s="400"/>
      <c r="W108" s="400"/>
      <c r="X108" s="400"/>
      <c r="Y108" s="400"/>
      <c r="Z108" s="400"/>
      <c r="AA108" s="400"/>
      <c r="AB108" s="400"/>
      <c r="AC108" s="400"/>
      <c r="AD108" s="400"/>
      <c r="AE108" s="400"/>
      <c r="AF108" s="400"/>
      <c r="AG108" s="400"/>
      <c r="AH108" s="400"/>
      <c r="AI108" s="400"/>
      <c r="AJ108" s="400"/>
      <c r="AK108" s="400"/>
      <c r="AL108" s="400"/>
      <c r="AM108" s="400"/>
      <c r="AN108" s="400"/>
      <c r="AO108" s="400"/>
      <c r="AP108" s="400"/>
      <c r="AQ108" s="400"/>
      <c r="AR108" s="400"/>
      <c r="AS108" s="400"/>
      <c r="AT108" s="400"/>
      <c r="AU108" s="400"/>
      <c r="AV108" s="400"/>
      <c r="AW108" s="400"/>
      <c r="AX108" s="400"/>
      <c r="AY108" s="400"/>
      <c r="AZ108" s="400"/>
      <c r="BA108" s="400"/>
      <c r="BB108" s="400"/>
      <c r="BC108" s="400"/>
      <c r="BD108" s="400"/>
      <c r="BE108" s="400"/>
      <c r="BF108" s="400"/>
      <c r="BG108" s="400"/>
      <c r="BH108" s="400"/>
      <c r="BI108" s="400"/>
      <c r="BJ108" s="400"/>
      <c r="BK108" s="401"/>
    </row>
    <row r="109" spans="1:63" s="402" customFormat="1" ht="21" hidden="1" customHeight="1" x14ac:dyDescent="0.2">
      <c r="A109" s="415" t="s">
        <v>19</v>
      </c>
      <c r="B109" s="415">
        <v>101623</v>
      </c>
      <c r="C109" s="416" t="s">
        <v>20</v>
      </c>
      <c r="D109" s="416" t="s">
        <v>48</v>
      </c>
      <c r="E109" s="415" t="s">
        <v>22</v>
      </c>
      <c r="F109" s="415" t="s">
        <v>23</v>
      </c>
      <c r="G109" s="417">
        <v>45992</v>
      </c>
      <c r="H109" s="385" t="s">
        <v>346</v>
      </c>
      <c r="I109" s="418">
        <v>25050548</v>
      </c>
      <c r="J109" s="415" t="s">
        <v>347</v>
      </c>
      <c r="K109" s="415">
        <v>71983971080</v>
      </c>
      <c r="L109" s="415">
        <v>71983971080</v>
      </c>
      <c r="M109" s="415" t="s">
        <v>70</v>
      </c>
      <c r="O109" s="420"/>
      <c r="Q109" s="405"/>
      <c r="R109" s="423"/>
      <c r="S109" s="400"/>
      <c r="T109" s="400"/>
      <c r="U109" s="400"/>
      <c r="V109" s="400"/>
      <c r="W109" s="400"/>
      <c r="X109" s="400"/>
      <c r="Y109" s="400"/>
      <c r="Z109" s="400"/>
      <c r="AA109" s="400"/>
      <c r="AB109" s="400"/>
      <c r="AC109" s="400"/>
      <c r="AD109" s="400"/>
      <c r="AE109" s="400"/>
      <c r="AF109" s="400"/>
      <c r="AG109" s="400"/>
      <c r="AH109" s="400"/>
      <c r="AI109" s="400"/>
      <c r="AJ109" s="400"/>
      <c r="AK109" s="400"/>
      <c r="AL109" s="400"/>
      <c r="AM109" s="400"/>
      <c r="AN109" s="400"/>
      <c r="AO109" s="400"/>
      <c r="AP109" s="400"/>
      <c r="AQ109" s="400"/>
      <c r="AR109" s="400"/>
      <c r="AS109" s="400"/>
      <c r="AT109" s="400"/>
      <c r="AU109" s="400"/>
      <c r="AV109" s="400"/>
      <c r="AW109" s="400"/>
      <c r="AX109" s="400"/>
      <c r="AY109" s="400"/>
      <c r="AZ109" s="400"/>
      <c r="BA109" s="400"/>
      <c r="BB109" s="400"/>
      <c r="BC109" s="400"/>
      <c r="BD109" s="400"/>
      <c r="BE109" s="400"/>
      <c r="BF109" s="400"/>
      <c r="BG109" s="400"/>
      <c r="BH109" s="400"/>
      <c r="BI109" s="400"/>
      <c r="BJ109" s="400"/>
      <c r="BK109" s="401"/>
    </row>
    <row r="110" spans="1:63" s="402" customFormat="1" ht="21" hidden="1" customHeight="1" x14ac:dyDescent="0.2">
      <c r="A110" s="415" t="s">
        <v>19</v>
      </c>
      <c r="B110" s="415">
        <v>101625</v>
      </c>
      <c r="C110" s="416" t="s">
        <v>20</v>
      </c>
      <c r="D110" s="416" t="s">
        <v>187</v>
      </c>
      <c r="E110" s="415" t="s">
        <v>22</v>
      </c>
      <c r="F110" s="415" t="s">
        <v>23</v>
      </c>
      <c r="G110" s="417">
        <v>46001</v>
      </c>
      <c r="H110" s="385" t="s">
        <v>348</v>
      </c>
      <c r="I110" s="418">
        <v>21843960</v>
      </c>
      <c r="J110" s="415" t="s">
        <v>349</v>
      </c>
      <c r="K110" s="415">
        <v>71984304076</v>
      </c>
      <c r="L110" s="415">
        <v>71984304076</v>
      </c>
      <c r="M110" s="415" t="s">
        <v>70</v>
      </c>
      <c r="O110" s="420"/>
      <c r="Q110" s="405"/>
      <c r="R110" s="423"/>
      <c r="S110" s="400"/>
      <c r="T110" s="400"/>
      <c r="U110" s="400"/>
      <c r="V110" s="400"/>
      <c r="W110" s="400"/>
      <c r="X110" s="400"/>
      <c r="Y110" s="400"/>
      <c r="Z110" s="400"/>
      <c r="AA110" s="400"/>
      <c r="AB110" s="400"/>
      <c r="AC110" s="400"/>
      <c r="AD110" s="400"/>
      <c r="AE110" s="400"/>
      <c r="AF110" s="400"/>
      <c r="AG110" s="400"/>
      <c r="AH110" s="400"/>
      <c r="AI110" s="400"/>
      <c r="AJ110" s="400"/>
      <c r="AK110" s="400"/>
      <c r="AL110" s="400"/>
      <c r="AM110" s="400"/>
      <c r="AN110" s="400"/>
      <c r="AO110" s="400"/>
      <c r="AP110" s="400"/>
      <c r="AQ110" s="400"/>
      <c r="AR110" s="400"/>
      <c r="AS110" s="400"/>
      <c r="AT110" s="400"/>
      <c r="AU110" s="400"/>
      <c r="AV110" s="400"/>
      <c r="AW110" s="400"/>
      <c r="AX110" s="400"/>
      <c r="AY110" s="400"/>
      <c r="AZ110" s="400"/>
      <c r="BA110" s="400"/>
      <c r="BB110" s="400"/>
      <c r="BC110" s="400"/>
      <c r="BD110" s="400"/>
      <c r="BE110" s="400"/>
      <c r="BF110" s="400"/>
      <c r="BG110" s="400"/>
      <c r="BH110" s="400"/>
      <c r="BI110" s="400"/>
      <c r="BJ110" s="400"/>
      <c r="BK110" s="401"/>
    </row>
    <row r="111" spans="1:63" s="402" customFormat="1" ht="21" hidden="1" customHeight="1" x14ac:dyDescent="0.2">
      <c r="A111" s="415" t="s">
        <v>19</v>
      </c>
      <c r="B111" s="415">
        <v>101630</v>
      </c>
      <c r="C111" s="416" t="s">
        <v>20</v>
      </c>
      <c r="D111" s="416" t="s">
        <v>40</v>
      </c>
      <c r="E111" s="415" t="s">
        <v>22</v>
      </c>
      <c r="F111" s="415" t="s">
        <v>23</v>
      </c>
      <c r="G111" s="417">
        <v>46002</v>
      </c>
      <c r="H111" s="385" t="s">
        <v>350</v>
      </c>
      <c r="I111" s="418">
        <v>162607500</v>
      </c>
      <c r="J111" s="415" t="s">
        <v>351</v>
      </c>
      <c r="K111" s="415">
        <v>71994182250</v>
      </c>
      <c r="L111" s="415">
        <v>71994182250</v>
      </c>
      <c r="M111" s="415" t="s">
        <v>70</v>
      </c>
      <c r="O111" s="420"/>
      <c r="Q111" s="405"/>
      <c r="R111" s="423" t="s">
        <v>352</v>
      </c>
      <c r="S111" s="400"/>
      <c r="T111" s="400"/>
      <c r="U111" s="400"/>
      <c r="V111" s="400"/>
      <c r="W111" s="400"/>
      <c r="X111" s="400"/>
      <c r="Y111" s="400"/>
      <c r="Z111" s="400"/>
      <c r="AA111" s="400"/>
      <c r="AB111" s="400"/>
      <c r="AC111" s="400"/>
      <c r="AD111" s="400"/>
      <c r="AE111" s="400"/>
      <c r="AF111" s="400"/>
      <c r="AG111" s="400"/>
      <c r="AH111" s="400"/>
      <c r="AI111" s="400"/>
      <c r="AJ111" s="400"/>
      <c r="AK111" s="400"/>
      <c r="AL111" s="400"/>
      <c r="AM111" s="400"/>
      <c r="AN111" s="400"/>
      <c r="AO111" s="400"/>
      <c r="AP111" s="400"/>
      <c r="AQ111" s="400"/>
      <c r="AR111" s="400"/>
      <c r="AS111" s="400"/>
      <c r="AT111" s="400"/>
      <c r="AU111" s="400"/>
      <c r="AV111" s="400"/>
      <c r="AW111" s="400"/>
      <c r="AX111" s="400"/>
      <c r="AY111" s="400"/>
      <c r="AZ111" s="400"/>
      <c r="BA111" s="400"/>
      <c r="BB111" s="400"/>
      <c r="BC111" s="400"/>
      <c r="BD111" s="400"/>
      <c r="BE111" s="400"/>
      <c r="BF111" s="400"/>
      <c r="BG111" s="400"/>
      <c r="BH111" s="400"/>
      <c r="BI111" s="400"/>
      <c r="BJ111" s="400"/>
      <c r="BK111" s="401"/>
    </row>
    <row r="112" spans="1:63" s="402" customFormat="1" ht="21" hidden="1" customHeight="1" x14ac:dyDescent="0.2">
      <c r="A112" s="381" t="s">
        <v>19</v>
      </c>
      <c r="B112" s="381">
        <v>101624</v>
      </c>
      <c r="C112" s="382" t="s">
        <v>20</v>
      </c>
      <c r="D112" s="382" t="s">
        <v>36</v>
      </c>
      <c r="E112" s="381" t="s">
        <v>22</v>
      </c>
      <c r="F112" s="381" t="s">
        <v>23</v>
      </c>
      <c r="G112" s="384">
        <v>46006</v>
      </c>
      <c r="H112" s="390" t="s">
        <v>353</v>
      </c>
      <c r="I112" s="393">
        <v>91130894</v>
      </c>
      <c r="J112" s="381" t="s">
        <v>354</v>
      </c>
      <c r="K112" s="381">
        <v>71991251617</v>
      </c>
      <c r="L112" s="381">
        <v>71991251617</v>
      </c>
      <c r="M112" s="415" t="s">
        <v>355</v>
      </c>
      <c r="O112" s="420"/>
      <c r="Q112" s="405"/>
      <c r="R112" s="423"/>
      <c r="S112" s="400"/>
      <c r="T112" s="400"/>
      <c r="U112" s="400"/>
      <c r="V112" s="400"/>
      <c r="W112" s="400"/>
      <c r="X112" s="400"/>
      <c r="Y112" s="400"/>
      <c r="Z112" s="400"/>
      <c r="AA112" s="400"/>
      <c r="AB112" s="400"/>
      <c r="AC112" s="400"/>
      <c r="AD112" s="400"/>
      <c r="AE112" s="400"/>
      <c r="AF112" s="400"/>
      <c r="AG112" s="400"/>
      <c r="AH112" s="400"/>
      <c r="AI112" s="400"/>
      <c r="AJ112" s="400"/>
      <c r="AK112" s="400"/>
      <c r="AL112" s="400"/>
      <c r="AM112" s="400"/>
      <c r="AN112" s="400"/>
      <c r="AO112" s="400"/>
      <c r="AP112" s="400"/>
      <c r="AQ112" s="400"/>
      <c r="AR112" s="400"/>
      <c r="AS112" s="400"/>
      <c r="AT112" s="400"/>
      <c r="AU112" s="400"/>
      <c r="AV112" s="400"/>
      <c r="AW112" s="400"/>
      <c r="AX112" s="400"/>
      <c r="AY112" s="400"/>
      <c r="AZ112" s="400"/>
      <c r="BA112" s="400"/>
      <c r="BB112" s="400"/>
      <c r="BC112" s="400"/>
      <c r="BD112" s="400"/>
      <c r="BE112" s="400"/>
      <c r="BF112" s="400"/>
      <c r="BG112" s="400"/>
      <c r="BH112" s="400"/>
      <c r="BI112" s="400"/>
      <c r="BJ112" s="400"/>
      <c r="BK112" s="401"/>
    </row>
    <row r="113" spans="1:63" s="402" customFormat="1" ht="23.25" customHeight="1" x14ac:dyDescent="0.2">
      <c r="A113" s="381" t="s">
        <v>19</v>
      </c>
      <c r="B113" s="381">
        <v>101629</v>
      </c>
      <c r="C113" s="382" t="s">
        <v>20</v>
      </c>
      <c r="D113" s="382" t="s">
        <v>62</v>
      </c>
      <c r="E113" s="381" t="s">
        <v>22</v>
      </c>
      <c r="F113" s="381" t="s">
        <v>23</v>
      </c>
      <c r="G113" s="384">
        <v>45993</v>
      </c>
      <c r="H113" s="390" t="s">
        <v>356</v>
      </c>
      <c r="I113" s="393">
        <v>25053662</v>
      </c>
      <c r="J113" s="391" t="s">
        <v>357</v>
      </c>
      <c r="K113" s="381">
        <v>71982668130</v>
      </c>
      <c r="L113" s="381">
        <v>71982668130</v>
      </c>
      <c r="M113" s="381" t="s">
        <v>70</v>
      </c>
      <c r="N113" s="381"/>
      <c r="O113" s="421" t="s">
        <v>358</v>
      </c>
      <c r="P113" s="381" t="s">
        <v>277</v>
      </c>
      <c r="Q113" s="386"/>
      <c r="R113" s="399" t="s">
        <v>359</v>
      </c>
      <c r="S113" s="400"/>
      <c r="T113" s="400"/>
      <c r="U113" s="400"/>
      <c r="V113" s="400"/>
      <c r="W113" s="400"/>
      <c r="X113" s="400"/>
      <c r="Y113" s="400"/>
      <c r="Z113" s="400"/>
      <c r="AA113" s="400"/>
      <c r="AB113" s="400"/>
      <c r="AC113" s="400"/>
      <c r="AD113" s="400"/>
      <c r="AE113" s="400"/>
      <c r="AF113" s="400"/>
      <c r="AG113" s="400"/>
      <c r="AH113" s="400"/>
      <c r="AI113" s="400"/>
      <c r="AJ113" s="400"/>
      <c r="AK113" s="400"/>
      <c r="AL113" s="400"/>
      <c r="AM113" s="400"/>
      <c r="AN113" s="400"/>
      <c r="AO113" s="400"/>
      <c r="AP113" s="400"/>
      <c r="AQ113" s="400"/>
      <c r="AR113" s="400"/>
      <c r="AS113" s="400"/>
      <c r="AT113" s="400"/>
      <c r="AU113" s="400"/>
      <c r="AV113" s="400"/>
      <c r="AW113" s="400"/>
      <c r="AX113" s="400"/>
      <c r="AY113" s="400"/>
      <c r="AZ113" s="400"/>
      <c r="BA113" s="400"/>
      <c r="BB113" s="400"/>
      <c r="BC113" s="400"/>
      <c r="BD113" s="400"/>
      <c r="BE113" s="400"/>
      <c r="BF113" s="400"/>
      <c r="BG113" s="400"/>
      <c r="BH113" s="400"/>
      <c r="BI113" s="400"/>
      <c r="BJ113" s="400"/>
      <c r="BK113" s="401"/>
    </row>
    <row r="114" spans="1:63" s="402" customFormat="1" ht="21" hidden="1" customHeight="1" x14ac:dyDescent="0.2">
      <c r="A114" s="415" t="s">
        <v>19</v>
      </c>
      <c r="B114" s="415">
        <v>101623</v>
      </c>
      <c r="C114" s="416" t="s">
        <v>20</v>
      </c>
      <c r="D114" s="416" t="s">
        <v>48</v>
      </c>
      <c r="E114" s="415" t="s">
        <v>22</v>
      </c>
      <c r="F114" s="415" t="s">
        <v>23</v>
      </c>
      <c r="G114" s="417">
        <v>46007</v>
      </c>
      <c r="H114" s="385" t="s">
        <v>360</v>
      </c>
      <c r="I114" s="418">
        <v>25055660</v>
      </c>
      <c r="J114" s="436" t="s">
        <v>361</v>
      </c>
      <c r="K114" s="415" t="s">
        <v>362</v>
      </c>
      <c r="L114" s="415" t="s">
        <v>362</v>
      </c>
      <c r="M114" s="415" t="s">
        <v>70</v>
      </c>
      <c r="O114" s="420"/>
      <c r="Q114" s="405"/>
      <c r="R114" s="423"/>
      <c r="S114" s="400"/>
      <c r="T114" s="400"/>
      <c r="U114" s="400"/>
      <c r="V114" s="400"/>
      <c r="W114" s="400"/>
      <c r="X114" s="400"/>
      <c r="Y114" s="400"/>
      <c r="Z114" s="400"/>
      <c r="AA114" s="400"/>
      <c r="AB114" s="400"/>
      <c r="AC114" s="400"/>
      <c r="AD114" s="400"/>
      <c r="AE114" s="400"/>
      <c r="AF114" s="400"/>
      <c r="AG114" s="400"/>
      <c r="AH114" s="400"/>
      <c r="AI114" s="400"/>
      <c r="AJ114" s="400"/>
      <c r="AK114" s="400"/>
      <c r="AL114" s="400"/>
      <c r="AM114" s="400"/>
      <c r="AN114" s="400"/>
      <c r="AO114" s="400"/>
      <c r="AP114" s="400"/>
      <c r="AQ114" s="400"/>
      <c r="AR114" s="400"/>
      <c r="AS114" s="400"/>
      <c r="AT114" s="400"/>
      <c r="AU114" s="400"/>
      <c r="AV114" s="400"/>
      <c r="AW114" s="400"/>
      <c r="AX114" s="400"/>
      <c r="AY114" s="400"/>
      <c r="AZ114" s="400"/>
      <c r="BA114" s="400"/>
      <c r="BB114" s="400"/>
      <c r="BC114" s="400"/>
      <c r="BD114" s="400"/>
      <c r="BE114" s="400"/>
      <c r="BF114" s="400"/>
      <c r="BG114" s="400"/>
      <c r="BH114" s="400"/>
      <c r="BI114" s="400"/>
      <c r="BJ114" s="400"/>
      <c r="BK114" s="401"/>
    </row>
    <row r="115" spans="1:63" s="402" customFormat="1" ht="21" hidden="1" customHeight="1" x14ac:dyDescent="0.2">
      <c r="A115" s="415" t="s">
        <v>19</v>
      </c>
      <c r="B115" s="415">
        <v>101624</v>
      </c>
      <c r="C115" s="416" t="s">
        <v>20</v>
      </c>
      <c r="D115" s="416" t="s">
        <v>36</v>
      </c>
      <c r="E115" s="415" t="s">
        <v>22</v>
      </c>
      <c r="F115" s="415" t="s">
        <v>23</v>
      </c>
      <c r="G115" s="417">
        <v>46000</v>
      </c>
      <c r="H115" s="385" t="s">
        <v>363</v>
      </c>
      <c r="I115" s="418">
        <v>14470699</v>
      </c>
      <c r="J115" s="415" t="s">
        <v>364</v>
      </c>
      <c r="K115" s="415">
        <v>71991572208</v>
      </c>
      <c r="L115" s="415">
        <v>71991572208</v>
      </c>
      <c r="M115" s="415" t="s">
        <v>70</v>
      </c>
      <c r="O115" s="420"/>
      <c r="Q115" s="405"/>
      <c r="R115" s="423"/>
      <c r="S115" s="400"/>
      <c r="T115" s="400"/>
      <c r="U115" s="400"/>
      <c r="V115" s="400"/>
      <c r="W115" s="400"/>
      <c r="X115" s="400"/>
      <c r="Y115" s="400"/>
      <c r="Z115" s="400"/>
      <c r="AA115" s="400"/>
      <c r="AB115" s="400"/>
      <c r="AC115" s="400"/>
      <c r="AD115" s="400"/>
      <c r="AE115" s="400"/>
      <c r="AF115" s="400"/>
      <c r="AG115" s="400"/>
      <c r="AH115" s="400"/>
      <c r="AI115" s="400"/>
      <c r="AJ115" s="400"/>
      <c r="AK115" s="400"/>
      <c r="AL115" s="400"/>
      <c r="AM115" s="400"/>
      <c r="AN115" s="400"/>
      <c r="AO115" s="400"/>
      <c r="AP115" s="400"/>
      <c r="AQ115" s="400"/>
      <c r="AR115" s="400"/>
      <c r="AS115" s="400"/>
      <c r="AT115" s="400"/>
      <c r="AU115" s="400"/>
      <c r="AV115" s="400"/>
      <c r="AW115" s="400"/>
      <c r="AX115" s="400"/>
      <c r="AY115" s="400"/>
      <c r="AZ115" s="400"/>
      <c r="BA115" s="400"/>
      <c r="BB115" s="400"/>
      <c r="BC115" s="400"/>
      <c r="BD115" s="400"/>
      <c r="BE115" s="400"/>
      <c r="BF115" s="400"/>
      <c r="BG115" s="400"/>
      <c r="BH115" s="400"/>
      <c r="BI115" s="400"/>
      <c r="BJ115" s="400"/>
      <c r="BK115" s="401"/>
    </row>
    <row r="116" spans="1:63" s="381" customFormat="1" ht="21" hidden="1" customHeight="1" x14ac:dyDescent="0.2">
      <c r="A116" s="381" t="s">
        <v>19</v>
      </c>
      <c r="B116" s="381">
        <v>101627</v>
      </c>
      <c r="C116" s="382" t="s">
        <v>20</v>
      </c>
      <c r="D116" s="382" t="s">
        <v>44</v>
      </c>
      <c r="E116" s="381" t="s">
        <v>22</v>
      </c>
      <c r="F116" s="381" t="s">
        <v>23</v>
      </c>
      <c r="G116" s="384">
        <v>46006</v>
      </c>
      <c r="H116" s="390" t="s">
        <v>365</v>
      </c>
      <c r="I116" s="393">
        <v>25017244</v>
      </c>
      <c r="J116" s="381" t="s">
        <v>366</v>
      </c>
      <c r="K116" s="381">
        <v>71981306345</v>
      </c>
      <c r="L116" s="381">
        <v>71981306345</v>
      </c>
      <c r="O116" s="382"/>
      <c r="Q116" s="386"/>
      <c r="R116" s="399"/>
      <c r="S116" s="387"/>
      <c r="T116" s="387"/>
      <c r="U116" s="387"/>
      <c r="V116" s="387"/>
      <c r="W116" s="387"/>
      <c r="X116" s="387"/>
      <c r="Y116" s="387"/>
      <c r="Z116" s="387"/>
      <c r="AA116" s="387"/>
      <c r="AB116" s="387"/>
      <c r="AC116" s="387"/>
      <c r="AD116" s="387"/>
      <c r="AE116" s="387"/>
      <c r="AF116" s="387"/>
      <c r="AG116" s="387"/>
      <c r="AH116" s="387"/>
      <c r="AI116" s="387"/>
      <c r="AJ116" s="387"/>
      <c r="AK116" s="387"/>
      <c r="AL116" s="387"/>
      <c r="AM116" s="387"/>
      <c r="AN116" s="387"/>
      <c r="AO116" s="387"/>
      <c r="AP116" s="387"/>
      <c r="AQ116" s="387"/>
      <c r="AR116" s="387"/>
      <c r="AS116" s="387"/>
      <c r="AT116" s="387"/>
      <c r="AU116" s="387"/>
      <c r="AV116" s="387"/>
      <c r="AW116" s="387"/>
      <c r="AX116" s="387"/>
      <c r="AY116" s="387"/>
      <c r="AZ116" s="387"/>
      <c r="BA116" s="387"/>
      <c r="BB116" s="387"/>
      <c r="BC116" s="387"/>
      <c r="BD116" s="387"/>
      <c r="BE116" s="387"/>
      <c r="BF116" s="387"/>
      <c r="BG116" s="387"/>
      <c r="BH116" s="387"/>
      <c r="BI116" s="387"/>
      <c r="BJ116" s="387"/>
      <c r="BK116" s="388"/>
    </row>
    <row r="117" spans="1:63" s="381" customFormat="1" ht="21" hidden="1" customHeight="1" x14ac:dyDescent="0.2">
      <c r="A117" s="381" t="s">
        <v>19</v>
      </c>
      <c r="B117" s="381">
        <v>101625</v>
      </c>
      <c r="C117" s="382" t="s">
        <v>20</v>
      </c>
      <c r="D117" s="382" t="s">
        <v>187</v>
      </c>
      <c r="E117" s="381" t="s">
        <v>22</v>
      </c>
      <c r="F117" s="381" t="s">
        <v>23</v>
      </c>
      <c r="G117" s="384">
        <v>45993</v>
      </c>
      <c r="H117" s="390" t="s">
        <v>367</v>
      </c>
      <c r="I117" s="393">
        <v>15528581</v>
      </c>
      <c r="J117" s="381" t="s">
        <v>368</v>
      </c>
      <c r="K117" s="381">
        <v>71993653360</v>
      </c>
      <c r="L117" s="381">
        <v>71993653360</v>
      </c>
      <c r="O117" s="382"/>
      <c r="Q117" s="386"/>
      <c r="R117" s="399"/>
      <c r="S117" s="387"/>
      <c r="T117" s="387"/>
      <c r="U117" s="387"/>
      <c r="V117" s="387"/>
      <c r="W117" s="387"/>
      <c r="X117" s="387"/>
      <c r="Y117" s="387"/>
      <c r="Z117" s="387"/>
      <c r="AA117" s="387"/>
      <c r="AB117" s="387"/>
      <c r="AC117" s="387"/>
      <c r="AD117" s="387"/>
      <c r="AE117" s="387"/>
      <c r="AF117" s="387"/>
      <c r="AG117" s="387"/>
      <c r="AH117" s="387"/>
      <c r="AI117" s="387"/>
      <c r="AJ117" s="387"/>
      <c r="AK117" s="387"/>
      <c r="AL117" s="387"/>
      <c r="AM117" s="387"/>
      <c r="AN117" s="387"/>
      <c r="AO117" s="387"/>
      <c r="AP117" s="387"/>
      <c r="AQ117" s="387"/>
      <c r="AR117" s="387"/>
      <c r="AS117" s="387"/>
      <c r="AT117" s="387"/>
      <c r="AU117" s="387"/>
      <c r="AV117" s="387"/>
      <c r="AW117" s="387"/>
      <c r="AX117" s="387"/>
      <c r="AY117" s="387"/>
      <c r="AZ117" s="387"/>
      <c r="BA117" s="387"/>
      <c r="BB117" s="387"/>
      <c r="BC117" s="387"/>
      <c r="BD117" s="387"/>
      <c r="BE117" s="387"/>
      <c r="BF117" s="387"/>
      <c r="BG117" s="387"/>
      <c r="BH117" s="387"/>
      <c r="BI117" s="387"/>
      <c r="BJ117" s="387"/>
      <c r="BK117" s="388"/>
    </row>
    <row r="118" spans="1:63" s="381" customFormat="1" ht="21" hidden="1" customHeight="1" x14ac:dyDescent="0.2">
      <c r="A118" s="381" t="s">
        <v>19</v>
      </c>
      <c r="B118" s="381">
        <v>101631</v>
      </c>
      <c r="C118" s="382" t="s">
        <v>20</v>
      </c>
      <c r="D118" s="382" t="s">
        <v>27</v>
      </c>
      <c r="E118" s="381" t="s">
        <v>22</v>
      </c>
      <c r="F118" s="381" t="s">
        <v>23</v>
      </c>
      <c r="G118" s="384">
        <v>46006</v>
      </c>
      <c r="H118" s="390" t="s">
        <v>369</v>
      </c>
      <c r="I118" s="393">
        <v>25055570</v>
      </c>
      <c r="J118" s="381" t="s">
        <v>370</v>
      </c>
      <c r="K118" s="381">
        <v>71981429622</v>
      </c>
      <c r="L118" s="381">
        <v>71981429622</v>
      </c>
      <c r="O118" s="382"/>
      <c r="Q118" s="386"/>
      <c r="R118" s="399"/>
      <c r="S118" s="387"/>
      <c r="T118" s="387"/>
      <c r="U118" s="387"/>
      <c r="V118" s="387"/>
      <c r="W118" s="387"/>
      <c r="X118" s="387"/>
      <c r="Y118" s="387"/>
      <c r="Z118" s="387"/>
      <c r="AA118" s="387"/>
      <c r="AB118" s="387"/>
      <c r="AC118" s="387"/>
      <c r="AD118" s="387"/>
      <c r="AE118" s="387"/>
      <c r="AF118" s="387"/>
      <c r="AG118" s="387"/>
      <c r="AH118" s="387"/>
      <c r="AI118" s="387"/>
      <c r="AJ118" s="387"/>
      <c r="AK118" s="387"/>
      <c r="AL118" s="387"/>
      <c r="AM118" s="387"/>
      <c r="AN118" s="387"/>
      <c r="AO118" s="387"/>
      <c r="AP118" s="387"/>
      <c r="AQ118" s="387"/>
      <c r="AR118" s="387"/>
      <c r="AS118" s="387"/>
      <c r="AT118" s="387"/>
      <c r="AU118" s="387"/>
      <c r="AV118" s="387"/>
      <c r="AW118" s="387"/>
      <c r="AX118" s="387"/>
      <c r="AY118" s="387"/>
      <c r="AZ118" s="387"/>
      <c r="BA118" s="387"/>
      <c r="BB118" s="387"/>
      <c r="BC118" s="387"/>
      <c r="BD118" s="387"/>
      <c r="BE118" s="387"/>
      <c r="BF118" s="387"/>
      <c r="BG118" s="387"/>
      <c r="BH118" s="387"/>
      <c r="BI118" s="387"/>
      <c r="BJ118" s="387"/>
      <c r="BK118" s="388"/>
    </row>
    <row r="119" spans="1:63" s="402" customFormat="1" ht="21" hidden="1" customHeight="1" x14ac:dyDescent="0.2">
      <c r="A119" s="415" t="s">
        <v>19</v>
      </c>
      <c r="B119" s="415">
        <v>101623</v>
      </c>
      <c r="C119" s="416" t="s">
        <v>20</v>
      </c>
      <c r="D119" s="416" t="s">
        <v>48</v>
      </c>
      <c r="E119" s="415" t="s">
        <v>22</v>
      </c>
      <c r="F119" s="415" t="s">
        <v>23</v>
      </c>
      <c r="G119" s="417">
        <v>45981</v>
      </c>
      <c r="H119" s="385" t="s">
        <v>371</v>
      </c>
      <c r="I119" s="418">
        <v>25051638</v>
      </c>
      <c r="J119" s="436" t="s">
        <v>372</v>
      </c>
      <c r="K119" s="415">
        <v>71996170564</v>
      </c>
      <c r="L119" s="415">
        <v>71996170564</v>
      </c>
      <c r="M119" s="415" t="s">
        <v>70</v>
      </c>
      <c r="O119" s="420" t="s">
        <v>373</v>
      </c>
      <c r="Q119" s="405"/>
      <c r="R119" s="423" t="s">
        <v>374</v>
      </c>
      <c r="S119" s="400"/>
      <c r="T119" s="400"/>
      <c r="U119" s="400"/>
      <c r="V119" s="400"/>
      <c r="W119" s="400"/>
      <c r="X119" s="400"/>
      <c r="Y119" s="400"/>
      <c r="Z119" s="400"/>
      <c r="AA119" s="400"/>
      <c r="AB119" s="400"/>
      <c r="AC119" s="400"/>
      <c r="AD119" s="400"/>
      <c r="AE119" s="400"/>
      <c r="AF119" s="400"/>
      <c r="AG119" s="400"/>
      <c r="AH119" s="400"/>
      <c r="AI119" s="400"/>
      <c r="AJ119" s="400"/>
      <c r="AK119" s="400"/>
      <c r="AL119" s="400"/>
      <c r="AM119" s="400"/>
      <c r="AN119" s="400"/>
      <c r="AO119" s="400"/>
      <c r="AP119" s="400"/>
      <c r="AQ119" s="400"/>
      <c r="AR119" s="400"/>
      <c r="AS119" s="400"/>
      <c r="AT119" s="400"/>
      <c r="AU119" s="400"/>
      <c r="AV119" s="400"/>
      <c r="AW119" s="400"/>
      <c r="AX119" s="400"/>
      <c r="AY119" s="400"/>
      <c r="AZ119" s="400"/>
      <c r="BA119" s="400"/>
      <c r="BB119" s="400"/>
      <c r="BC119" s="400"/>
      <c r="BD119" s="400"/>
      <c r="BE119" s="400"/>
      <c r="BF119" s="400"/>
      <c r="BG119" s="400"/>
      <c r="BH119" s="400"/>
      <c r="BI119" s="400"/>
      <c r="BJ119" s="400"/>
      <c r="BK119" s="401"/>
    </row>
    <row r="120" spans="1:63" s="381" customFormat="1" ht="21" hidden="1" customHeight="1" x14ac:dyDescent="0.2">
      <c r="A120" s="381" t="s">
        <v>19</v>
      </c>
      <c r="B120" s="381">
        <v>101624</v>
      </c>
      <c r="C120" s="382" t="s">
        <v>20</v>
      </c>
      <c r="D120" s="382" t="s">
        <v>36</v>
      </c>
      <c r="E120" s="381" t="s">
        <v>22</v>
      </c>
      <c r="F120" s="381" t="s">
        <v>23</v>
      </c>
      <c r="G120" s="384">
        <v>46007</v>
      </c>
      <c r="H120" s="390" t="s">
        <v>375</v>
      </c>
      <c r="I120" s="393">
        <v>25055762</v>
      </c>
      <c r="J120" s="381" t="s">
        <v>376</v>
      </c>
      <c r="K120" s="381">
        <v>71987831205</v>
      </c>
      <c r="L120" s="381">
        <v>71987831205</v>
      </c>
      <c r="O120" s="382"/>
      <c r="Q120" s="386"/>
      <c r="R120" s="399"/>
      <c r="S120" s="387"/>
      <c r="T120" s="387"/>
      <c r="U120" s="387"/>
      <c r="V120" s="387"/>
      <c r="W120" s="387"/>
      <c r="X120" s="387"/>
      <c r="Y120" s="387"/>
      <c r="Z120" s="387"/>
      <c r="AA120" s="387"/>
      <c r="AB120" s="387"/>
      <c r="AC120" s="387"/>
      <c r="AD120" s="387"/>
      <c r="AE120" s="387"/>
      <c r="AF120" s="387"/>
      <c r="AG120" s="387"/>
      <c r="AH120" s="387"/>
      <c r="AI120" s="387"/>
      <c r="AJ120" s="387"/>
      <c r="AK120" s="387"/>
      <c r="AL120" s="387"/>
      <c r="AM120" s="387"/>
      <c r="AN120" s="387"/>
      <c r="AO120" s="387"/>
      <c r="AP120" s="387"/>
      <c r="AQ120" s="387"/>
      <c r="AR120" s="387"/>
      <c r="AS120" s="387"/>
      <c r="AT120" s="387"/>
      <c r="AU120" s="387"/>
      <c r="AV120" s="387"/>
      <c r="AW120" s="387"/>
      <c r="AX120" s="387"/>
      <c r="AY120" s="387"/>
      <c r="AZ120" s="387"/>
      <c r="BA120" s="387"/>
      <c r="BB120" s="387"/>
      <c r="BC120" s="387"/>
      <c r="BD120" s="387"/>
      <c r="BE120" s="387"/>
      <c r="BF120" s="387"/>
      <c r="BG120" s="387"/>
      <c r="BH120" s="387"/>
      <c r="BI120" s="387"/>
      <c r="BJ120" s="387"/>
      <c r="BK120" s="388"/>
    </row>
    <row r="121" spans="1:63" s="402" customFormat="1" ht="21" hidden="1" customHeight="1" x14ac:dyDescent="0.2">
      <c r="A121" s="415" t="s">
        <v>19</v>
      </c>
      <c r="B121" s="415">
        <v>101628</v>
      </c>
      <c r="C121" s="416" t="s">
        <v>20</v>
      </c>
      <c r="D121" s="416" t="s">
        <v>252</v>
      </c>
      <c r="E121" s="415" t="s">
        <v>22</v>
      </c>
      <c r="F121" s="415" t="s">
        <v>23</v>
      </c>
      <c r="G121" s="417">
        <v>46001</v>
      </c>
      <c r="H121" s="385" t="s">
        <v>377</v>
      </c>
      <c r="I121" s="418">
        <v>25054855</v>
      </c>
      <c r="J121" s="415" t="s">
        <v>378</v>
      </c>
      <c r="K121" s="415">
        <v>71992789784</v>
      </c>
      <c r="L121" s="415">
        <v>71992789784</v>
      </c>
      <c r="M121" s="415" t="s">
        <v>70</v>
      </c>
      <c r="O121" s="420"/>
      <c r="Q121" s="405"/>
      <c r="R121" s="423"/>
      <c r="S121" s="400"/>
      <c r="T121" s="400"/>
      <c r="U121" s="400"/>
      <c r="V121" s="400"/>
      <c r="W121" s="400"/>
      <c r="X121" s="400"/>
      <c r="Y121" s="400"/>
      <c r="Z121" s="400"/>
      <c r="AA121" s="400"/>
      <c r="AB121" s="400"/>
      <c r="AC121" s="400"/>
      <c r="AD121" s="400"/>
      <c r="AE121" s="400"/>
      <c r="AF121" s="400"/>
      <c r="AG121" s="400"/>
      <c r="AH121" s="400"/>
      <c r="AI121" s="400"/>
      <c r="AJ121" s="400"/>
      <c r="AK121" s="400"/>
      <c r="AL121" s="400"/>
      <c r="AM121" s="400"/>
      <c r="AN121" s="400"/>
      <c r="AO121" s="400"/>
      <c r="AP121" s="400"/>
      <c r="AQ121" s="400"/>
      <c r="AR121" s="400"/>
      <c r="AS121" s="400"/>
      <c r="AT121" s="400"/>
      <c r="AU121" s="400"/>
      <c r="AV121" s="400"/>
      <c r="AW121" s="400"/>
      <c r="AX121" s="400"/>
      <c r="AY121" s="400"/>
      <c r="AZ121" s="400"/>
      <c r="BA121" s="400"/>
      <c r="BB121" s="400"/>
      <c r="BC121" s="400"/>
      <c r="BD121" s="400"/>
      <c r="BE121" s="400"/>
      <c r="BF121" s="400"/>
      <c r="BG121" s="400"/>
      <c r="BH121" s="400"/>
      <c r="BI121" s="400"/>
      <c r="BJ121" s="400"/>
      <c r="BK121" s="401"/>
    </row>
    <row r="122" spans="1:63" s="381" customFormat="1" ht="21" hidden="1" customHeight="1" x14ac:dyDescent="0.2">
      <c r="A122" s="381" t="s">
        <v>19</v>
      </c>
      <c r="B122" s="381">
        <v>101630</v>
      </c>
      <c r="C122" s="382" t="s">
        <v>175</v>
      </c>
      <c r="D122" s="382" t="s">
        <v>40</v>
      </c>
      <c r="E122" s="381" t="s">
        <v>22</v>
      </c>
      <c r="F122" s="381" t="s">
        <v>23</v>
      </c>
      <c r="G122" s="384">
        <v>46007</v>
      </c>
      <c r="H122" s="390" t="s">
        <v>379</v>
      </c>
      <c r="I122" s="393">
        <v>25055763</v>
      </c>
      <c r="J122" s="391" t="s">
        <v>380</v>
      </c>
      <c r="K122" s="381">
        <v>71999421993</v>
      </c>
      <c r="L122" s="381">
        <v>71999421993</v>
      </c>
      <c r="M122" s="381" t="s">
        <v>70</v>
      </c>
      <c r="N122" s="398" t="s">
        <v>52</v>
      </c>
      <c r="O122" s="382" t="s">
        <v>381</v>
      </c>
      <c r="Q122" s="386"/>
      <c r="R122" s="399" t="s">
        <v>382</v>
      </c>
      <c r="S122" s="387"/>
      <c r="T122" s="387"/>
      <c r="U122" s="387"/>
      <c r="V122" s="387"/>
      <c r="W122" s="387"/>
      <c r="X122" s="387"/>
      <c r="Y122" s="387"/>
      <c r="Z122" s="387"/>
      <c r="AA122" s="387"/>
      <c r="AB122" s="387"/>
      <c r="AC122" s="387"/>
      <c r="AD122" s="387"/>
      <c r="AE122" s="387"/>
      <c r="AF122" s="387"/>
      <c r="AG122" s="387"/>
      <c r="AH122" s="387"/>
      <c r="AI122" s="387"/>
      <c r="AJ122" s="387"/>
      <c r="AK122" s="387"/>
      <c r="AL122" s="387"/>
      <c r="AM122" s="387"/>
      <c r="AN122" s="387"/>
      <c r="AO122" s="387"/>
      <c r="AP122" s="387"/>
      <c r="AQ122" s="387"/>
      <c r="AR122" s="387"/>
      <c r="AS122" s="387"/>
      <c r="AT122" s="387"/>
      <c r="AU122" s="387"/>
      <c r="AV122" s="387"/>
      <c r="AW122" s="387"/>
      <c r="AX122" s="387"/>
      <c r="AY122" s="387"/>
      <c r="AZ122" s="387"/>
      <c r="BA122" s="387"/>
      <c r="BB122" s="387"/>
      <c r="BC122" s="387"/>
      <c r="BD122" s="387"/>
      <c r="BE122" s="387"/>
      <c r="BF122" s="387"/>
      <c r="BG122" s="387"/>
      <c r="BH122" s="387"/>
      <c r="BI122" s="387"/>
      <c r="BJ122" s="387"/>
      <c r="BK122" s="388"/>
    </row>
    <row r="123" spans="1:63" s="402" customFormat="1" ht="27" hidden="1" customHeight="1" x14ac:dyDescent="0.2">
      <c r="A123" s="415" t="s">
        <v>19</v>
      </c>
      <c r="B123" s="415">
        <v>101631</v>
      </c>
      <c r="C123" s="416" t="s">
        <v>20</v>
      </c>
      <c r="D123" s="416" t="s">
        <v>27</v>
      </c>
      <c r="E123" s="415" t="s">
        <v>22</v>
      </c>
      <c r="F123" s="415" t="s">
        <v>23</v>
      </c>
      <c r="G123" s="417">
        <v>46005</v>
      </c>
      <c r="H123" s="385" t="s">
        <v>383</v>
      </c>
      <c r="I123" s="418">
        <v>91158931</v>
      </c>
      <c r="J123" s="415" t="s">
        <v>384</v>
      </c>
      <c r="K123" s="415">
        <v>71992362524</v>
      </c>
      <c r="L123" s="415">
        <v>71992362524</v>
      </c>
      <c r="M123" s="415" t="s">
        <v>70</v>
      </c>
      <c r="O123" s="420"/>
      <c r="Q123" s="405"/>
      <c r="R123" s="423" t="s">
        <v>385</v>
      </c>
      <c r="S123" s="400"/>
      <c r="T123" s="400"/>
      <c r="U123" s="400"/>
      <c r="V123" s="400"/>
      <c r="W123" s="400"/>
      <c r="X123" s="400"/>
      <c r="Y123" s="400"/>
      <c r="Z123" s="400"/>
      <c r="AA123" s="400"/>
      <c r="AB123" s="400"/>
      <c r="AC123" s="400"/>
      <c r="AD123" s="400"/>
      <c r="AE123" s="400"/>
      <c r="AF123" s="400"/>
      <c r="AG123" s="400"/>
      <c r="AH123" s="400"/>
      <c r="AI123" s="400"/>
      <c r="AJ123" s="400"/>
      <c r="AK123" s="400"/>
      <c r="AL123" s="400"/>
      <c r="AM123" s="400"/>
      <c r="AN123" s="400"/>
      <c r="AO123" s="400"/>
      <c r="AP123" s="400"/>
      <c r="AQ123" s="400"/>
      <c r="AR123" s="400"/>
      <c r="AS123" s="400"/>
      <c r="AT123" s="400"/>
      <c r="AU123" s="400"/>
      <c r="AV123" s="400"/>
      <c r="AW123" s="400"/>
      <c r="AX123" s="400"/>
      <c r="AY123" s="400"/>
      <c r="AZ123" s="400"/>
      <c r="BA123" s="400"/>
      <c r="BB123" s="400"/>
      <c r="BC123" s="400"/>
      <c r="BD123" s="400"/>
      <c r="BE123" s="400"/>
      <c r="BF123" s="400"/>
      <c r="BG123" s="400"/>
      <c r="BH123" s="400"/>
      <c r="BI123" s="400"/>
      <c r="BJ123" s="400"/>
      <c r="BK123" s="401"/>
    </row>
    <row r="124" spans="1:63" s="402" customFormat="1" ht="21" hidden="1" customHeight="1" x14ac:dyDescent="0.2">
      <c r="A124" s="415" t="s">
        <v>19</v>
      </c>
      <c r="B124" s="415">
        <v>101626</v>
      </c>
      <c r="C124" s="416" t="s">
        <v>20</v>
      </c>
      <c r="D124" s="416" t="s">
        <v>21</v>
      </c>
      <c r="E124" s="415" t="s">
        <v>22</v>
      </c>
      <c r="F124" s="415" t="s">
        <v>23</v>
      </c>
      <c r="G124" s="417">
        <v>46009</v>
      </c>
      <c r="H124" s="385" t="s">
        <v>386</v>
      </c>
      <c r="I124" s="418">
        <v>25055933</v>
      </c>
      <c r="J124" s="415" t="s">
        <v>387</v>
      </c>
      <c r="K124" s="415">
        <v>71986789407</v>
      </c>
      <c r="L124" s="415">
        <v>71986789407</v>
      </c>
      <c r="M124" s="415" t="s">
        <v>70</v>
      </c>
      <c r="O124" s="420" t="s">
        <v>381</v>
      </c>
      <c r="Q124" s="405"/>
      <c r="R124" s="423"/>
      <c r="S124" s="400"/>
      <c r="T124" s="400"/>
      <c r="U124" s="400"/>
      <c r="V124" s="400"/>
      <c r="W124" s="400"/>
      <c r="X124" s="400"/>
      <c r="Y124" s="400"/>
      <c r="Z124" s="400"/>
      <c r="AA124" s="400"/>
      <c r="AB124" s="400"/>
      <c r="AC124" s="400"/>
      <c r="AD124" s="400"/>
      <c r="AE124" s="400"/>
      <c r="AF124" s="400"/>
      <c r="AG124" s="400"/>
      <c r="AH124" s="400"/>
      <c r="AI124" s="400"/>
      <c r="AJ124" s="400"/>
      <c r="AK124" s="400"/>
      <c r="AL124" s="400"/>
      <c r="AM124" s="400"/>
      <c r="AN124" s="400"/>
      <c r="AO124" s="400"/>
      <c r="AP124" s="400"/>
      <c r="AQ124" s="400"/>
      <c r="AR124" s="400"/>
      <c r="AS124" s="400"/>
      <c r="AT124" s="400"/>
      <c r="AU124" s="400"/>
      <c r="AV124" s="400"/>
      <c r="AW124" s="400"/>
      <c r="AX124" s="400"/>
      <c r="AY124" s="400"/>
      <c r="AZ124" s="400"/>
      <c r="BA124" s="400"/>
      <c r="BB124" s="400"/>
      <c r="BC124" s="400"/>
      <c r="BD124" s="400"/>
      <c r="BE124" s="400"/>
      <c r="BF124" s="400"/>
      <c r="BG124" s="400"/>
      <c r="BH124" s="400"/>
      <c r="BI124" s="400"/>
      <c r="BJ124" s="400"/>
      <c r="BK124" s="401"/>
    </row>
    <row r="125" spans="1:63" s="402" customFormat="1" ht="21" hidden="1" customHeight="1" x14ac:dyDescent="0.2">
      <c r="A125" s="381" t="s">
        <v>19</v>
      </c>
      <c r="B125" s="381">
        <v>101624</v>
      </c>
      <c r="C125" s="382" t="s">
        <v>20</v>
      </c>
      <c r="D125" s="382" t="s">
        <v>36</v>
      </c>
      <c r="E125" s="381" t="s">
        <v>22</v>
      </c>
      <c r="F125" s="381" t="s">
        <v>23</v>
      </c>
      <c r="G125" s="384">
        <v>46007</v>
      </c>
      <c r="H125" s="390" t="s">
        <v>388</v>
      </c>
      <c r="I125" s="393">
        <v>91145461</v>
      </c>
      <c r="J125" s="391" t="s">
        <v>389</v>
      </c>
      <c r="K125" s="381">
        <v>71986257722</v>
      </c>
      <c r="L125" s="381">
        <v>71986257722</v>
      </c>
      <c r="M125" s="381" t="s">
        <v>70</v>
      </c>
      <c r="N125" s="398" t="s">
        <v>52</v>
      </c>
      <c r="O125" s="382" t="s">
        <v>381</v>
      </c>
      <c r="P125" s="381"/>
      <c r="Q125" s="386"/>
      <c r="R125" s="399" t="s">
        <v>390</v>
      </c>
      <c r="S125" s="400"/>
      <c r="T125" s="400"/>
      <c r="U125" s="400"/>
      <c r="V125" s="400"/>
      <c r="W125" s="400"/>
      <c r="X125" s="400"/>
      <c r="Y125" s="400"/>
      <c r="Z125" s="400"/>
      <c r="AA125" s="400"/>
      <c r="AB125" s="400"/>
      <c r="AC125" s="400"/>
      <c r="AD125" s="400"/>
      <c r="AE125" s="400"/>
      <c r="AF125" s="400"/>
      <c r="AG125" s="400"/>
      <c r="AH125" s="400"/>
      <c r="AI125" s="400"/>
      <c r="AJ125" s="400"/>
      <c r="AK125" s="400"/>
      <c r="AL125" s="400"/>
      <c r="AM125" s="400"/>
      <c r="AN125" s="400"/>
      <c r="AO125" s="400"/>
      <c r="AP125" s="400"/>
      <c r="AQ125" s="400"/>
      <c r="AR125" s="400"/>
      <c r="AS125" s="400"/>
      <c r="AT125" s="400"/>
      <c r="AU125" s="400"/>
      <c r="AV125" s="400"/>
      <c r="AW125" s="400"/>
      <c r="AX125" s="400"/>
      <c r="AY125" s="400"/>
      <c r="AZ125" s="400"/>
      <c r="BA125" s="400"/>
      <c r="BB125" s="400"/>
      <c r="BC125" s="400"/>
      <c r="BD125" s="400"/>
      <c r="BE125" s="400"/>
      <c r="BF125" s="400"/>
      <c r="BG125" s="400"/>
      <c r="BH125" s="400"/>
      <c r="BI125" s="400"/>
      <c r="BJ125" s="400"/>
      <c r="BK125" s="401"/>
    </row>
    <row r="126" spans="1:63" s="402" customFormat="1" ht="21" hidden="1" customHeight="1" x14ac:dyDescent="0.2">
      <c r="A126" s="381" t="s">
        <v>19</v>
      </c>
      <c r="B126" s="381">
        <v>101623</v>
      </c>
      <c r="C126" s="382" t="s">
        <v>20</v>
      </c>
      <c r="D126" s="382" t="s">
        <v>48</v>
      </c>
      <c r="E126" s="381" t="s">
        <v>22</v>
      </c>
      <c r="F126" s="381" t="s">
        <v>23</v>
      </c>
      <c r="G126" s="384">
        <v>46009</v>
      </c>
      <c r="H126" s="390" t="s">
        <v>391</v>
      </c>
      <c r="I126" s="393">
        <v>20751178</v>
      </c>
      <c r="J126" s="381" t="s">
        <v>392</v>
      </c>
      <c r="K126" s="381">
        <v>71991189838</v>
      </c>
      <c r="L126" s="381">
        <v>71991189838</v>
      </c>
      <c r="M126" s="381" t="s">
        <v>70</v>
      </c>
      <c r="O126" s="420"/>
      <c r="Q126" s="405"/>
      <c r="R126" s="423"/>
      <c r="S126" s="400"/>
      <c r="T126" s="400"/>
      <c r="U126" s="400"/>
      <c r="V126" s="400"/>
      <c r="W126" s="400"/>
      <c r="X126" s="400"/>
      <c r="Y126" s="400"/>
      <c r="Z126" s="400"/>
      <c r="AA126" s="400"/>
      <c r="AB126" s="400"/>
      <c r="AC126" s="400"/>
      <c r="AD126" s="400"/>
      <c r="AE126" s="400"/>
      <c r="AF126" s="400"/>
      <c r="AG126" s="400"/>
      <c r="AH126" s="400"/>
      <c r="AI126" s="400"/>
      <c r="AJ126" s="400"/>
      <c r="AK126" s="400"/>
      <c r="AL126" s="400"/>
      <c r="AM126" s="400"/>
      <c r="AN126" s="400"/>
      <c r="AO126" s="400"/>
      <c r="AP126" s="400"/>
      <c r="AQ126" s="400"/>
      <c r="AR126" s="400"/>
      <c r="AS126" s="400"/>
      <c r="AT126" s="400"/>
      <c r="AU126" s="400"/>
      <c r="AV126" s="400"/>
      <c r="AW126" s="400"/>
      <c r="AX126" s="400"/>
      <c r="AY126" s="400"/>
      <c r="AZ126" s="400"/>
      <c r="BA126" s="400"/>
      <c r="BB126" s="400"/>
      <c r="BC126" s="400"/>
      <c r="BD126" s="400"/>
      <c r="BE126" s="400"/>
      <c r="BF126" s="400"/>
      <c r="BG126" s="400"/>
      <c r="BH126" s="400"/>
      <c r="BI126" s="400"/>
      <c r="BJ126" s="400"/>
      <c r="BK126" s="401"/>
    </row>
    <row r="127" spans="1:63" s="402" customFormat="1" ht="21" hidden="1" customHeight="1" x14ac:dyDescent="0.2">
      <c r="A127" s="381" t="s">
        <v>19</v>
      </c>
      <c r="B127" s="381">
        <v>101628</v>
      </c>
      <c r="C127" s="382" t="s">
        <v>20</v>
      </c>
      <c r="D127" s="382" t="s">
        <v>252</v>
      </c>
      <c r="E127" s="381" t="s">
        <v>22</v>
      </c>
      <c r="F127" s="381" t="s">
        <v>23</v>
      </c>
      <c r="G127" s="384">
        <v>46006</v>
      </c>
      <c r="H127" s="390" t="s">
        <v>393</v>
      </c>
      <c r="I127" s="393">
        <v>21841987</v>
      </c>
      <c r="J127" s="381" t="s">
        <v>394</v>
      </c>
      <c r="K127" s="381">
        <v>71996154043</v>
      </c>
      <c r="L127" s="381">
        <v>71996154043</v>
      </c>
      <c r="M127" s="381" t="s">
        <v>70</v>
      </c>
      <c r="O127" s="420"/>
      <c r="Q127" s="405"/>
      <c r="R127" s="423"/>
      <c r="S127" s="400"/>
      <c r="T127" s="400"/>
      <c r="U127" s="400"/>
      <c r="V127" s="400"/>
      <c r="W127" s="400"/>
      <c r="X127" s="400"/>
      <c r="Y127" s="400"/>
      <c r="Z127" s="400"/>
      <c r="AA127" s="400"/>
      <c r="AB127" s="400"/>
      <c r="AC127" s="400"/>
      <c r="AD127" s="400"/>
      <c r="AE127" s="400"/>
      <c r="AF127" s="400"/>
      <c r="AG127" s="400"/>
      <c r="AH127" s="400"/>
      <c r="AI127" s="400"/>
      <c r="AJ127" s="400"/>
      <c r="AK127" s="400"/>
      <c r="AL127" s="400"/>
      <c r="AM127" s="400"/>
      <c r="AN127" s="400"/>
      <c r="AO127" s="400"/>
      <c r="AP127" s="400"/>
      <c r="AQ127" s="400"/>
      <c r="AR127" s="400"/>
      <c r="AS127" s="400"/>
      <c r="AT127" s="400"/>
      <c r="AU127" s="400"/>
      <c r="AV127" s="400"/>
      <c r="AW127" s="400"/>
      <c r="AX127" s="400"/>
      <c r="AY127" s="400"/>
      <c r="AZ127" s="400"/>
      <c r="BA127" s="400"/>
      <c r="BB127" s="400"/>
      <c r="BC127" s="400"/>
      <c r="BD127" s="400"/>
      <c r="BE127" s="400"/>
      <c r="BF127" s="400"/>
      <c r="BG127" s="400"/>
      <c r="BH127" s="400"/>
      <c r="BI127" s="400"/>
      <c r="BJ127" s="400"/>
      <c r="BK127" s="401"/>
    </row>
    <row r="128" spans="1:63" s="402" customFormat="1" ht="21" hidden="1" customHeight="1" x14ac:dyDescent="0.2">
      <c r="A128" s="381" t="s">
        <v>19</v>
      </c>
      <c r="B128" s="381">
        <v>101626</v>
      </c>
      <c r="C128" s="382" t="s">
        <v>20</v>
      </c>
      <c r="D128" s="382" t="s">
        <v>21</v>
      </c>
      <c r="E128" s="381" t="s">
        <v>22</v>
      </c>
      <c r="F128" s="381" t="s">
        <v>23</v>
      </c>
      <c r="G128" s="384">
        <v>45985</v>
      </c>
      <c r="H128" s="390" t="s">
        <v>395</v>
      </c>
      <c r="I128" s="393">
        <v>25052275</v>
      </c>
      <c r="J128" s="381" t="s">
        <v>396</v>
      </c>
      <c r="K128" s="381">
        <v>71992533054</v>
      </c>
      <c r="L128" s="381">
        <v>71992533054</v>
      </c>
      <c r="M128" s="381" t="s">
        <v>70</v>
      </c>
      <c r="O128" s="420" t="s">
        <v>397</v>
      </c>
      <c r="Q128" s="405"/>
      <c r="R128" s="423" t="s">
        <v>398</v>
      </c>
      <c r="S128" s="400"/>
      <c r="T128" s="400"/>
      <c r="U128" s="400"/>
      <c r="V128" s="400"/>
      <c r="W128" s="400"/>
      <c r="X128" s="400"/>
      <c r="Y128" s="400"/>
      <c r="Z128" s="400"/>
      <c r="AA128" s="400"/>
      <c r="AB128" s="400"/>
      <c r="AC128" s="400"/>
      <c r="AD128" s="400"/>
      <c r="AE128" s="400"/>
      <c r="AF128" s="400"/>
      <c r="AG128" s="400"/>
      <c r="AH128" s="400"/>
      <c r="AI128" s="400"/>
      <c r="AJ128" s="400"/>
      <c r="AK128" s="400"/>
      <c r="AL128" s="400"/>
      <c r="AM128" s="400"/>
      <c r="AN128" s="400"/>
      <c r="AO128" s="400"/>
      <c r="AP128" s="400"/>
      <c r="AQ128" s="400"/>
      <c r="AR128" s="400"/>
      <c r="AS128" s="400"/>
      <c r="AT128" s="400"/>
      <c r="AU128" s="400"/>
      <c r="AV128" s="400"/>
      <c r="AW128" s="400"/>
      <c r="AX128" s="400"/>
      <c r="AY128" s="400"/>
      <c r="AZ128" s="400"/>
      <c r="BA128" s="400"/>
      <c r="BB128" s="400"/>
      <c r="BC128" s="400"/>
      <c r="BD128" s="400"/>
      <c r="BE128" s="400"/>
      <c r="BF128" s="400"/>
      <c r="BG128" s="400"/>
      <c r="BH128" s="400"/>
      <c r="BI128" s="400"/>
      <c r="BJ128" s="400"/>
      <c r="BK128" s="401"/>
    </row>
    <row r="129" spans="1:63" s="402" customFormat="1" ht="21" hidden="1" customHeight="1" x14ac:dyDescent="0.2">
      <c r="A129" s="381" t="s">
        <v>19</v>
      </c>
      <c r="B129" s="381">
        <v>101622</v>
      </c>
      <c r="C129" s="382" t="s">
        <v>20</v>
      </c>
      <c r="D129" s="382" t="s">
        <v>31</v>
      </c>
      <c r="E129" s="381" t="s">
        <v>32</v>
      </c>
      <c r="F129" s="381" t="s">
        <v>23</v>
      </c>
      <c r="G129" s="384">
        <v>46010</v>
      </c>
      <c r="H129" s="390" t="s">
        <v>399</v>
      </c>
      <c r="I129" s="381" t="s">
        <v>400</v>
      </c>
      <c r="J129" s="381" t="s">
        <v>401</v>
      </c>
      <c r="K129" s="381">
        <v>71994169363</v>
      </c>
      <c r="L129" s="381">
        <v>71994169363</v>
      </c>
      <c r="M129" s="381" t="s">
        <v>70</v>
      </c>
      <c r="O129" s="420"/>
      <c r="P129" s="402" t="s">
        <v>97</v>
      </c>
      <c r="Q129" s="405"/>
      <c r="R129" s="423"/>
      <c r="S129" s="424" t="s">
        <v>97</v>
      </c>
      <c r="T129" s="400"/>
      <c r="U129" s="400"/>
      <c r="V129" s="400"/>
      <c r="W129" s="400"/>
      <c r="X129" s="400"/>
      <c r="Y129" s="400"/>
      <c r="Z129" s="400"/>
      <c r="AA129" s="400"/>
      <c r="AB129" s="400"/>
      <c r="AC129" s="400"/>
      <c r="AD129" s="400"/>
      <c r="AE129" s="400"/>
      <c r="AF129" s="400"/>
      <c r="AG129" s="400"/>
      <c r="AH129" s="400"/>
      <c r="AI129" s="400"/>
      <c r="AJ129" s="400"/>
      <c r="AK129" s="400"/>
      <c r="AL129" s="400"/>
      <c r="AM129" s="400"/>
      <c r="AN129" s="400"/>
      <c r="AO129" s="400"/>
      <c r="AP129" s="400"/>
      <c r="AQ129" s="400"/>
      <c r="AR129" s="400"/>
      <c r="AS129" s="400"/>
      <c r="AT129" s="400"/>
      <c r="AU129" s="400"/>
      <c r="AV129" s="400"/>
      <c r="AW129" s="400"/>
      <c r="AX129" s="400"/>
      <c r="AY129" s="400"/>
      <c r="AZ129" s="400"/>
      <c r="BA129" s="400"/>
      <c r="BB129" s="400"/>
      <c r="BC129" s="400"/>
      <c r="BD129" s="400"/>
      <c r="BE129" s="400"/>
      <c r="BF129" s="400"/>
      <c r="BG129" s="400"/>
      <c r="BH129" s="400"/>
      <c r="BI129" s="400"/>
      <c r="BJ129" s="400"/>
      <c r="BK129" s="401"/>
    </row>
    <row r="130" spans="1:63" s="402" customFormat="1" ht="21" hidden="1" customHeight="1" x14ac:dyDescent="0.2">
      <c r="A130" s="381" t="s">
        <v>19</v>
      </c>
      <c r="B130" s="381">
        <v>101623</v>
      </c>
      <c r="C130" s="382" t="s">
        <v>20</v>
      </c>
      <c r="D130" s="382" t="s">
        <v>48</v>
      </c>
      <c r="E130" s="381" t="s">
        <v>22</v>
      </c>
      <c r="F130" s="381" t="s">
        <v>23</v>
      </c>
      <c r="G130" s="384">
        <v>34215</v>
      </c>
      <c r="H130" s="390" t="s">
        <v>402</v>
      </c>
      <c r="I130" s="393">
        <v>14477296</v>
      </c>
      <c r="J130" s="391" t="s">
        <v>403</v>
      </c>
      <c r="K130" s="381" t="s">
        <v>404</v>
      </c>
      <c r="L130" s="381" t="s">
        <v>404</v>
      </c>
      <c r="M130" s="381" t="s">
        <v>70</v>
      </c>
      <c r="O130" s="420"/>
      <c r="Q130" s="405"/>
      <c r="R130" s="423"/>
      <c r="S130" s="400"/>
      <c r="T130" s="400"/>
      <c r="U130" s="400"/>
      <c r="V130" s="400"/>
      <c r="W130" s="400"/>
      <c r="X130" s="400"/>
      <c r="Y130" s="400"/>
      <c r="Z130" s="400"/>
      <c r="AA130" s="400"/>
      <c r="AB130" s="400"/>
      <c r="AC130" s="400"/>
      <c r="AD130" s="400"/>
      <c r="AE130" s="400"/>
      <c r="AF130" s="400"/>
      <c r="AG130" s="400"/>
      <c r="AH130" s="400"/>
      <c r="AI130" s="400"/>
      <c r="AJ130" s="400"/>
      <c r="AK130" s="400"/>
      <c r="AL130" s="400"/>
      <c r="AM130" s="400"/>
      <c r="AN130" s="400"/>
      <c r="AO130" s="400"/>
      <c r="AP130" s="400"/>
      <c r="AQ130" s="400"/>
      <c r="AR130" s="400"/>
      <c r="AS130" s="400"/>
      <c r="AT130" s="400"/>
      <c r="AU130" s="400"/>
      <c r="AV130" s="400"/>
      <c r="AW130" s="400"/>
      <c r="AX130" s="400"/>
      <c r="AY130" s="400"/>
      <c r="AZ130" s="400"/>
      <c r="BA130" s="400"/>
      <c r="BB130" s="400"/>
      <c r="BC130" s="400"/>
      <c r="BD130" s="400"/>
      <c r="BE130" s="400"/>
      <c r="BF130" s="400"/>
      <c r="BG130" s="400"/>
      <c r="BH130" s="400"/>
      <c r="BI130" s="400"/>
      <c r="BJ130" s="400"/>
      <c r="BK130" s="401"/>
    </row>
    <row r="131" spans="1:63" s="402" customFormat="1" ht="21" hidden="1" customHeight="1" x14ac:dyDescent="0.2">
      <c r="A131" s="415" t="s">
        <v>19</v>
      </c>
      <c r="B131" s="415">
        <v>101631</v>
      </c>
      <c r="C131" s="416" t="s">
        <v>20</v>
      </c>
      <c r="D131" s="416" t="s">
        <v>27</v>
      </c>
      <c r="E131" s="415" t="s">
        <v>22</v>
      </c>
      <c r="F131" s="415" t="s">
        <v>23</v>
      </c>
      <c r="G131" s="417">
        <v>46002</v>
      </c>
      <c r="H131" s="385" t="s">
        <v>405</v>
      </c>
      <c r="I131" s="418">
        <v>25055295</v>
      </c>
      <c r="J131" s="415" t="s">
        <v>406</v>
      </c>
      <c r="K131" s="415">
        <v>71986690320</v>
      </c>
      <c r="L131" s="415">
        <v>71986690320</v>
      </c>
      <c r="M131" s="381" t="s">
        <v>70</v>
      </c>
      <c r="O131" s="420"/>
      <c r="Q131" s="405"/>
      <c r="R131" s="423"/>
      <c r="S131" s="400"/>
      <c r="T131" s="400"/>
      <c r="U131" s="400"/>
      <c r="V131" s="400"/>
      <c r="W131" s="400"/>
      <c r="X131" s="400"/>
      <c r="Y131" s="400"/>
      <c r="Z131" s="400"/>
      <c r="AA131" s="400"/>
      <c r="AB131" s="400"/>
      <c r="AC131" s="400"/>
      <c r="AD131" s="400"/>
      <c r="AE131" s="400"/>
      <c r="AF131" s="400"/>
      <c r="AG131" s="400"/>
      <c r="AH131" s="400"/>
      <c r="AI131" s="400"/>
      <c r="AJ131" s="400"/>
      <c r="AK131" s="400"/>
      <c r="AL131" s="400"/>
      <c r="AM131" s="400"/>
      <c r="AN131" s="400"/>
      <c r="AO131" s="400"/>
      <c r="AP131" s="400"/>
      <c r="AQ131" s="400"/>
      <c r="AR131" s="400"/>
      <c r="AS131" s="400"/>
      <c r="AT131" s="400"/>
      <c r="AU131" s="400"/>
      <c r="AV131" s="400"/>
      <c r="AW131" s="400"/>
      <c r="AX131" s="400"/>
      <c r="AY131" s="400"/>
      <c r="AZ131" s="400"/>
      <c r="BA131" s="400"/>
      <c r="BB131" s="400"/>
      <c r="BC131" s="400"/>
      <c r="BD131" s="400"/>
      <c r="BE131" s="400"/>
      <c r="BF131" s="400"/>
      <c r="BG131" s="400"/>
      <c r="BH131" s="400"/>
      <c r="BI131" s="400"/>
      <c r="BJ131" s="400"/>
      <c r="BK131" s="401"/>
    </row>
    <row r="132" spans="1:63" s="402" customFormat="1" ht="21" hidden="1" customHeight="1" x14ac:dyDescent="0.2">
      <c r="A132" s="381" t="s">
        <v>19</v>
      </c>
      <c r="B132" s="381">
        <v>101622</v>
      </c>
      <c r="C132" s="382" t="s">
        <v>20</v>
      </c>
      <c r="D132" s="382" t="s">
        <v>31</v>
      </c>
      <c r="E132" s="381" t="s">
        <v>32</v>
      </c>
      <c r="F132" s="381" t="s">
        <v>23</v>
      </c>
      <c r="G132" s="384">
        <v>46012</v>
      </c>
      <c r="H132" s="390" t="s">
        <v>407</v>
      </c>
      <c r="I132" s="393">
        <v>14389231</v>
      </c>
      <c r="J132" s="381" t="s">
        <v>408</v>
      </c>
      <c r="K132" s="381">
        <v>71999342320</v>
      </c>
      <c r="L132" s="381">
        <v>71999342320</v>
      </c>
      <c r="M132" s="381" t="s">
        <v>70</v>
      </c>
      <c r="N132" s="381" t="s">
        <v>157</v>
      </c>
      <c r="O132" s="382" t="s">
        <v>409</v>
      </c>
      <c r="P132" s="381"/>
      <c r="Q132" s="386"/>
      <c r="R132" s="399" t="s">
        <v>410</v>
      </c>
      <c r="S132" s="400"/>
      <c r="T132" s="400"/>
      <c r="U132" s="400"/>
      <c r="V132" s="400"/>
      <c r="W132" s="400"/>
      <c r="X132" s="400"/>
      <c r="Y132" s="400"/>
      <c r="Z132" s="400"/>
      <c r="AA132" s="400"/>
      <c r="AB132" s="400"/>
      <c r="AC132" s="400"/>
      <c r="AD132" s="400"/>
      <c r="AE132" s="400"/>
      <c r="AF132" s="400"/>
      <c r="AG132" s="400"/>
      <c r="AH132" s="400"/>
      <c r="AI132" s="400"/>
      <c r="AJ132" s="400"/>
      <c r="AK132" s="400"/>
      <c r="AL132" s="400"/>
      <c r="AM132" s="400"/>
      <c r="AN132" s="400"/>
      <c r="AO132" s="400"/>
      <c r="AP132" s="400"/>
      <c r="AQ132" s="400"/>
      <c r="AR132" s="400"/>
      <c r="AS132" s="400"/>
      <c r="AT132" s="400"/>
      <c r="AU132" s="400"/>
      <c r="AV132" s="400"/>
      <c r="AW132" s="400"/>
      <c r="AX132" s="400"/>
      <c r="AY132" s="400"/>
      <c r="AZ132" s="400"/>
      <c r="BA132" s="400"/>
      <c r="BB132" s="400"/>
      <c r="BC132" s="400"/>
      <c r="BD132" s="400"/>
      <c r="BE132" s="400"/>
      <c r="BF132" s="400"/>
      <c r="BG132" s="400"/>
      <c r="BH132" s="400"/>
      <c r="BI132" s="400"/>
      <c r="BJ132" s="400"/>
      <c r="BK132" s="401"/>
    </row>
    <row r="133" spans="1:63" s="381" customFormat="1" ht="21" hidden="1" customHeight="1" x14ac:dyDescent="0.2">
      <c r="A133" s="381" t="s">
        <v>19</v>
      </c>
      <c r="B133" s="381">
        <v>101623</v>
      </c>
      <c r="C133" s="382" t="s">
        <v>20</v>
      </c>
      <c r="D133" s="382" t="s">
        <v>48</v>
      </c>
      <c r="E133" s="381" t="s">
        <v>22</v>
      </c>
      <c r="F133" s="381" t="s">
        <v>23</v>
      </c>
      <c r="G133" s="384">
        <v>46011</v>
      </c>
      <c r="H133" s="390" t="s">
        <v>411</v>
      </c>
      <c r="I133" s="393">
        <v>25056072</v>
      </c>
      <c r="J133" s="381" t="s">
        <v>412</v>
      </c>
      <c r="K133" s="381">
        <v>71983153621</v>
      </c>
      <c r="L133" s="381">
        <v>71983153621</v>
      </c>
      <c r="M133" s="381" t="s">
        <v>70</v>
      </c>
      <c r="O133" s="382" t="s">
        <v>413</v>
      </c>
      <c r="P133" s="381" t="s">
        <v>97</v>
      </c>
      <c r="Q133" s="386"/>
      <c r="R133" s="423" t="s">
        <v>414</v>
      </c>
      <c r="S133" s="387" t="s">
        <v>277</v>
      </c>
      <c r="T133" s="387"/>
      <c r="U133" s="387"/>
      <c r="V133" s="387"/>
      <c r="W133" s="387"/>
      <c r="X133" s="387"/>
      <c r="Y133" s="387"/>
      <c r="Z133" s="387"/>
      <c r="AA133" s="387"/>
      <c r="AB133" s="387"/>
      <c r="AC133" s="387"/>
      <c r="AD133" s="387"/>
      <c r="AE133" s="387"/>
      <c r="AF133" s="387"/>
      <c r="AG133" s="387"/>
      <c r="AH133" s="387"/>
      <c r="AI133" s="387"/>
      <c r="AJ133" s="387"/>
      <c r="AK133" s="387"/>
      <c r="AL133" s="387"/>
      <c r="AM133" s="387"/>
      <c r="AN133" s="387"/>
      <c r="AO133" s="387"/>
      <c r="AP133" s="387"/>
      <c r="AQ133" s="387"/>
      <c r="AR133" s="387"/>
      <c r="AS133" s="387"/>
      <c r="AT133" s="387"/>
      <c r="AU133" s="387"/>
      <c r="AV133" s="387"/>
      <c r="AW133" s="387"/>
      <c r="AX133" s="387"/>
      <c r="AY133" s="387"/>
      <c r="AZ133" s="387"/>
      <c r="BA133" s="387"/>
      <c r="BB133" s="387"/>
      <c r="BC133" s="387"/>
      <c r="BD133" s="387"/>
      <c r="BE133" s="387"/>
      <c r="BF133" s="387"/>
      <c r="BG133" s="387"/>
      <c r="BH133" s="387"/>
      <c r="BI133" s="387"/>
      <c r="BJ133" s="387"/>
      <c r="BK133" s="388"/>
    </row>
    <row r="134" spans="1:63" s="402" customFormat="1" ht="21" hidden="1" customHeight="1" x14ac:dyDescent="0.2">
      <c r="A134" s="415" t="s">
        <v>19</v>
      </c>
      <c r="B134" s="415">
        <v>101624</v>
      </c>
      <c r="C134" s="416" t="s">
        <v>20</v>
      </c>
      <c r="D134" s="416" t="s">
        <v>36</v>
      </c>
      <c r="E134" s="415" t="s">
        <v>22</v>
      </c>
      <c r="F134" s="415" t="s">
        <v>23</v>
      </c>
      <c r="G134" s="417">
        <v>46006</v>
      </c>
      <c r="H134" s="385" t="s">
        <v>415</v>
      </c>
      <c r="I134" s="418">
        <v>25055521</v>
      </c>
      <c r="J134" s="415" t="s">
        <v>416</v>
      </c>
      <c r="K134" s="415">
        <v>71986870648</v>
      </c>
      <c r="L134" s="415">
        <v>71986870648</v>
      </c>
      <c r="M134" s="415" t="s">
        <v>70</v>
      </c>
      <c r="O134" s="420"/>
      <c r="Q134" s="405"/>
      <c r="R134" s="423"/>
      <c r="S134" s="400"/>
      <c r="T134" s="400"/>
      <c r="U134" s="400"/>
      <c r="V134" s="400"/>
      <c r="W134" s="400"/>
      <c r="X134" s="400"/>
      <c r="Y134" s="400"/>
      <c r="Z134" s="400"/>
      <c r="AA134" s="400"/>
      <c r="AB134" s="400"/>
      <c r="AC134" s="400"/>
      <c r="AD134" s="400"/>
      <c r="AE134" s="400"/>
      <c r="AF134" s="400"/>
      <c r="AG134" s="400"/>
      <c r="AH134" s="400"/>
      <c r="AI134" s="400"/>
      <c r="AJ134" s="400"/>
      <c r="AK134" s="400"/>
      <c r="AL134" s="400"/>
      <c r="AM134" s="400"/>
      <c r="AN134" s="400"/>
      <c r="AO134" s="400"/>
      <c r="AP134" s="400"/>
      <c r="AQ134" s="400"/>
      <c r="AR134" s="400"/>
      <c r="AS134" s="400"/>
      <c r="AT134" s="400"/>
      <c r="AU134" s="400"/>
      <c r="AV134" s="400"/>
      <c r="AW134" s="400"/>
      <c r="AX134" s="400"/>
      <c r="AY134" s="400"/>
      <c r="AZ134" s="400"/>
      <c r="BA134" s="400"/>
      <c r="BB134" s="400"/>
      <c r="BC134" s="400"/>
      <c r="BD134" s="400"/>
      <c r="BE134" s="400"/>
      <c r="BF134" s="400"/>
      <c r="BG134" s="400"/>
      <c r="BH134" s="400"/>
      <c r="BI134" s="400"/>
      <c r="BJ134" s="400"/>
      <c r="BK134" s="401"/>
    </row>
    <row r="135" spans="1:63" s="402" customFormat="1" ht="21" hidden="1" customHeight="1" x14ac:dyDescent="0.2">
      <c r="A135" s="415" t="s">
        <v>19</v>
      </c>
      <c r="B135" s="415">
        <v>101628</v>
      </c>
      <c r="C135" s="416" t="s">
        <v>20</v>
      </c>
      <c r="D135" s="416" t="s">
        <v>252</v>
      </c>
      <c r="E135" s="415" t="s">
        <v>22</v>
      </c>
      <c r="F135" s="415" t="s">
        <v>23</v>
      </c>
      <c r="G135" s="417">
        <v>46013</v>
      </c>
      <c r="H135" s="385" t="s">
        <v>417</v>
      </c>
      <c r="I135" s="418">
        <v>25056160</v>
      </c>
      <c r="J135" s="415" t="s">
        <v>418</v>
      </c>
      <c r="K135" s="415">
        <v>71986064927</v>
      </c>
      <c r="L135" s="415">
        <v>71986064927</v>
      </c>
      <c r="M135" s="415" t="s">
        <v>70</v>
      </c>
      <c r="O135" s="420"/>
      <c r="Q135" s="405"/>
      <c r="R135" s="423"/>
      <c r="S135" s="400"/>
      <c r="T135" s="400"/>
      <c r="U135" s="400"/>
      <c r="V135" s="400"/>
      <c r="W135" s="400"/>
      <c r="X135" s="400"/>
      <c r="Y135" s="400"/>
      <c r="Z135" s="400"/>
      <c r="AA135" s="400"/>
      <c r="AB135" s="400"/>
      <c r="AC135" s="400"/>
      <c r="AD135" s="400"/>
      <c r="AE135" s="400"/>
      <c r="AF135" s="400"/>
      <c r="AG135" s="400"/>
      <c r="AH135" s="400"/>
      <c r="AI135" s="400"/>
      <c r="AJ135" s="400"/>
      <c r="AK135" s="400"/>
      <c r="AL135" s="400"/>
      <c r="AM135" s="400"/>
      <c r="AN135" s="400"/>
      <c r="AO135" s="400"/>
      <c r="AP135" s="400"/>
      <c r="AQ135" s="400"/>
      <c r="AR135" s="400"/>
      <c r="AS135" s="400"/>
      <c r="AT135" s="400"/>
      <c r="AU135" s="400"/>
      <c r="AV135" s="400"/>
      <c r="AW135" s="400"/>
      <c r="AX135" s="400"/>
      <c r="AY135" s="400"/>
      <c r="AZ135" s="400"/>
      <c r="BA135" s="400"/>
      <c r="BB135" s="400"/>
      <c r="BC135" s="400"/>
      <c r="BD135" s="400"/>
      <c r="BE135" s="400"/>
      <c r="BF135" s="400"/>
      <c r="BG135" s="400"/>
      <c r="BH135" s="400"/>
      <c r="BI135" s="400"/>
      <c r="BJ135" s="400"/>
      <c r="BK135" s="401"/>
    </row>
    <row r="136" spans="1:63" s="402" customFormat="1" ht="21" hidden="1" customHeight="1" x14ac:dyDescent="0.2">
      <c r="A136" s="415" t="s">
        <v>19</v>
      </c>
      <c r="B136" s="415">
        <v>101630</v>
      </c>
      <c r="C136" s="416" t="s">
        <v>20</v>
      </c>
      <c r="D136" s="416" t="s">
        <v>40</v>
      </c>
      <c r="E136" s="415" t="s">
        <v>22</v>
      </c>
      <c r="F136" s="415" t="s">
        <v>23</v>
      </c>
      <c r="G136" s="417">
        <v>46013</v>
      </c>
      <c r="H136" s="385" t="s">
        <v>419</v>
      </c>
      <c r="I136" s="418">
        <v>25056242</v>
      </c>
      <c r="J136" s="415" t="s">
        <v>420</v>
      </c>
      <c r="K136" s="415">
        <v>71981001834</v>
      </c>
      <c r="L136" s="415">
        <v>71981001834</v>
      </c>
      <c r="M136" s="415" t="s">
        <v>70</v>
      </c>
      <c r="O136" s="420"/>
      <c r="Q136" s="405"/>
      <c r="R136" s="423"/>
      <c r="S136" s="400"/>
      <c r="T136" s="400"/>
      <c r="U136" s="400"/>
      <c r="V136" s="400"/>
      <c r="W136" s="400"/>
      <c r="X136" s="400"/>
      <c r="Y136" s="400"/>
      <c r="Z136" s="400"/>
      <c r="AA136" s="400"/>
      <c r="AB136" s="400"/>
      <c r="AC136" s="400"/>
      <c r="AD136" s="400"/>
      <c r="AE136" s="400"/>
      <c r="AF136" s="400"/>
      <c r="AG136" s="400"/>
      <c r="AH136" s="400"/>
      <c r="AI136" s="400"/>
      <c r="AJ136" s="400"/>
      <c r="AK136" s="400"/>
      <c r="AL136" s="400"/>
      <c r="AM136" s="400"/>
      <c r="AN136" s="400"/>
      <c r="AO136" s="400"/>
      <c r="AP136" s="400"/>
      <c r="AQ136" s="400"/>
      <c r="AR136" s="400"/>
      <c r="AS136" s="400"/>
      <c r="AT136" s="400"/>
      <c r="AU136" s="400"/>
      <c r="AV136" s="400"/>
      <c r="AW136" s="400"/>
      <c r="AX136" s="400"/>
      <c r="AY136" s="400"/>
      <c r="AZ136" s="400"/>
      <c r="BA136" s="400"/>
      <c r="BB136" s="400"/>
      <c r="BC136" s="400"/>
      <c r="BD136" s="400"/>
      <c r="BE136" s="400"/>
      <c r="BF136" s="400"/>
      <c r="BG136" s="400"/>
      <c r="BH136" s="400"/>
      <c r="BI136" s="400"/>
      <c r="BJ136" s="400"/>
      <c r="BK136" s="401"/>
    </row>
    <row r="137" spans="1:63" s="381" customFormat="1" ht="21" hidden="1" customHeight="1" x14ac:dyDescent="0.2">
      <c r="A137" s="442" t="s">
        <v>19</v>
      </c>
      <c r="B137" s="442">
        <v>101623</v>
      </c>
      <c r="C137" s="443" t="s">
        <v>20</v>
      </c>
      <c r="D137" s="443" t="s">
        <v>48</v>
      </c>
      <c r="E137" s="442" t="s">
        <v>22</v>
      </c>
      <c r="F137" s="442" t="s">
        <v>23</v>
      </c>
      <c r="G137" s="444">
        <v>45982</v>
      </c>
      <c r="H137" s="445" t="s">
        <v>421</v>
      </c>
      <c r="I137" s="446">
        <v>25051673</v>
      </c>
      <c r="J137" s="447" t="s">
        <v>422</v>
      </c>
      <c r="K137" s="442">
        <v>71999795380</v>
      </c>
      <c r="L137" s="442">
        <v>71999795380</v>
      </c>
      <c r="M137" s="381" t="s">
        <v>310</v>
      </c>
      <c r="N137" s="381" t="s">
        <v>52</v>
      </c>
      <c r="O137" s="382" t="s">
        <v>75</v>
      </c>
      <c r="Q137" s="386"/>
      <c r="R137" s="399" t="s">
        <v>423</v>
      </c>
      <c r="S137" s="387"/>
      <c r="T137" s="387"/>
      <c r="U137" s="387"/>
      <c r="V137" s="387"/>
      <c r="W137" s="387"/>
      <c r="X137" s="387"/>
      <c r="Y137" s="387"/>
      <c r="Z137" s="387"/>
      <c r="AA137" s="387"/>
      <c r="AB137" s="387"/>
      <c r="AC137" s="387"/>
      <c r="AD137" s="387"/>
      <c r="AE137" s="387"/>
      <c r="AF137" s="387"/>
      <c r="AG137" s="387"/>
      <c r="AH137" s="387"/>
      <c r="AI137" s="387"/>
      <c r="AJ137" s="387"/>
      <c r="AK137" s="387"/>
      <c r="AL137" s="387"/>
      <c r="AM137" s="387"/>
      <c r="AN137" s="387"/>
      <c r="AO137" s="387"/>
      <c r="AP137" s="387"/>
      <c r="AQ137" s="387"/>
      <c r="AR137" s="387"/>
      <c r="AS137" s="387"/>
      <c r="AT137" s="387"/>
      <c r="AU137" s="387"/>
      <c r="AV137" s="387"/>
      <c r="AW137" s="387"/>
      <c r="AX137" s="387"/>
      <c r="AY137" s="387"/>
      <c r="AZ137" s="387"/>
      <c r="BA137" s="387"/>
      <c r="BB137" s="387"/>
      <c r="BC137" s="387"/>
      <c r="BD137" s="387"/>
      <c r="BE137" s="387"/>
      <c r="BF137" s="387"/>
      <c r="BG137" s="387"/>
      <c r="BH137" s="387"/>
      <c r="BI137" s="387"/>
      <c r="BJ137" s="387"/>
      <c r="BK137" s="388"/>
    </row>
    <row r="138" spans="1:63" s="381" customFormat="1" ht="21" hidden="1" customHeight="1" x14ac:dyDescent="0.2">
      <c r="A138" s="381" t="s">
        <v>19</v>
      </c>
      <c r="B138" s="381">
        <v>101623</v>
      </c>
      <c r="C138" s="382" t="s">
        <v>20</v>
      </c>
      <c r="D138" s="382" t="s">
        <v>48</v>
      </c>
      <c r="E138" s="381" t="s">
        <v>22</v>
      </c>
      <c r="F138" s="381" t="s">
        <v>23</v>
      </c>
      <c r="G138" s="384">
        <v>45981</v>
      </c>
      <c r="H138" s="390" t="s">
        <v>424</v>
      </c>
      <c r="I138" s="393">
        <v>232933645</v>
      </c>
      <c r="J138" s="391" t="s">
        <v>425</v>
      </c>
      <c r="K138" s="381">
        <v>71986710225</v>
      </c>
      <c r="L138" s="381">
        <v>71986710225</v>
      </c>
      <c r="N138" s="381" t="s">
        <v>52</v>
      </c>
      <c r="O138" s="382"/>
      <c r="Q138" s="386"/>
      <c r="R138" s="399" t="s">
        <v>426</v>
      </c>
      <c r="S138" s="387"/>
      <c r="T138" s="387"/>
      <c r="U138" s="387"/>
      <c r="V138" s="387"/>
      <c r="W138" s="387"/>
      <c r="X138" s="387"/>
      <c r="Y138" s="387"/>
      <c r="Z138" s="387"/>
      <c r="AA138" s="387"/>
      <c r="AB138" s="387"/>
      <c r="AC138" s="387"/>
      <c r="AD138" s="387"/>
      <c r="AE138" s="387"/>
      <c r="AF138" s="387"/>
      <c r="AG138" s="387"/>
      <c r="AH138" s="387"/>
      <c r="AI138" s="387"/>
      <c r="AJ138" s="387"/>
      <c r="AK138" s="387"/>
      <c r="AL138" s="387"/>
      <c r="AM138" s="387"/>
      <c r="AN138" s="387"/>
      <c r="AO138" s="387"/>
      <c r="AP138" s="387"/>
      <c r="AQ138" s="387"/>
      <c r="AR138" s="387"/>
      <c r="AS138" s="387"/>
      <c r="AT138" s="387"/>
      <c r="AU138" s="387"/>
      <c r="AV138" s="387"/>
      <c r="AW138" s="387"/>
      <c r="AX138" s="387"/>
      <c r="AY138" s="387"/>
      <c r="AZ138" s="387"/>
      <c r="BA138" s="387"/>
      <c r="BB138" s="387"/>
      <c r="BC138" s="387"/>
      <c r="BD138" s="387"/>
      <c r="BE138" s="387"/>
      <c r="BF138" s="387"/>
      <c r="BG138" s="387"/>
      <c r="BH138" s="387"/>
      <c r="BI138" s="387"/>
      <c r="BJ138" s="387"/>
      <c r="BK138" s="388"/>
    </row>
    <row r="139" spans="1:63" s="402" customFormat="1" ht="21" hidden="1" customHeight="1" x14ac:dyDescent="0.2">
      <c r="A139" s="381" t="s">
        <v>19</v>
      </c>
      <c r="B139" s="381">
        <v>101623</v>
      </c>
      <c r="C139" s="382" t="s">
        <v>20</v>
      </c>
      <c r="D139" s="382" t="s">
        <v>48</v>
      </c>
      <c r="E139" s="381" t="s">
        <v>22</v>
      </c>
      <c r="F139" s="381" t="s">
        <v>23</v>
      </c>
      <c r="G139" s="384">
        <v>46010</v>
      </c>
      <c r="H139" s="390" t="s">
        <v>427</v>
      </c>
      <c r="I139" s="393">
        <v>25056037</v>
      </c>
      <c r="J139" s="391" t="s">
        <v>428</v>
      </c>
      <c r="K139" s="381">
        <v>71986138547</v>
      </c>
      <c r="L139" s="381">
        <v>71986138547</v>
      </c>
      <c r="M139" s="381"/>
      <c r="N139" s="381" t="s">
        <v>52</v>
      </c>
      <c r="O139" s="382"/>
      <c r="P139" s="381" t="s">
        <v>97</v>
      </c>
      <c r="Q139" s="386"/>
      <c r="R139" s="399" t="s">
        <v>429</v>
      </c>
      <c r="S139" s="424" t="s">
        <v>97</v>
      </c>
      <c r="T139" s="400"/>
      <c r="U139" s="400"/>
      <c r="V139" s="400"/>
      <c r="W139" s="400"/>
      <c r="X139" s="400"/>
      <c r="Y139" s="400"/>
      <c r="Z139" s="400"/>
      <c r="AA139" s="400"/>
      <c r="AB139" s="400"/>
      <c r="AC139" s="400"/>
      <c r="AD139" s="400"/>
      <c r="AE139" s="400"/>
      <c r="AF139" s="400"/>
      <c r="AG139" s="400"/>
      <c r="AH139" s="400"/>
      <c r="AI139" s="400"/>
      <c r="AJ139" s="400"/>
      <c r="AK139" s="400"/>
      <c r="AL139" s="400"/>
      <c r="AM139" s="400"/>
      <c r="AN139" s="400"/>
      <c r="AO139" s="400"/>
      <c r="AP139" s="400"/>
      <c r="AQ139" s="400"/>
      <c r="AR139" s="400"/>
      <c r="AS139" s="400"/>
      <c r="AT139" s="400"/>
      <c r="AU139" s="400"/>
      <c r="AV139" s="400"/>
      <c r="AW139" s="400"/>
      <c r="AX139" s="400"/>
      <c r="AY139" s="400"/>
      <c r="AZ139" s="400"/>
      <c r="BA139" s="400"/>
      <c r="BB139" s="400"/>
      <c r="BC139" s="400"/>
      <c r="BD139" s="400"/>
      <c r="BE139" s="400"/>
      <c r="BF139" s="400"/>
      <c r="BG139" s="400"/>
      <c r="BH139" s="400"/>
      <c r="BI139" s="400"/>
      <c r="BJ139" s="400"/>
      <c r="BK139" s="401"/>
    </row>
    <row r="140" spans="1:63" s="381" customFormat="1" ht="21" hidden="1" customHeight="1" x14ac:dyDescent="0.2">
      <c r="A140" s="381">
        <v>0</v>
      </c>
      <c r="B140" s="381">
        <v>101623</v>
      </c>
      <c r="C140" s="382" t="s">
        <v>20</v>
      </c>
      <c r="D140" s="382" t="s">
        <v>48</v>
      </c>
      <c r="E140" s="381" t="s">
        <v>22</v>
      </c>
      <c r="F140" s="381" t="s">
        <v>23</v>
      </c>
      <c r="G140" s="384">
        <v>46011</v>
      </c>
      <c r="H140" s="390" t="s">
        <v>430</v>
      </c>
      <c r="I140" s="393">
        <v>25009096</v>
      </c>
      <c r="J140" s="391" t="s">
        <v>431</v>
      </c>
      <c r="K140" s="381">
        <v>71984334802</v>
      </c>
      <c r="L140" s="381">
        <v>71984334802</v>
      </c>
      <c r="M140" s="381" t="s">
        <v>70</v>
      </c>
      <c r="N140" s="381" t="s">
        <v>52</v>
      </c>
      <c r="O140" s="382" t="s">
        <v>75</v>
      </c>
      <c r="P140" s="381" t="s">
        <v>97</v>
      </c>
      <c r="Q140" s="386"/>
      <c r="R140" s="399" t="s">
        <v>432</v>
      </c>
      <c r="S140" s="387" t="s">
        <v>97</v>
      </c>
      <c r="T140" s="387"/>
      <c r="U140" s="387"/>
      <c r="V140" s="387"/>
      <c r="W140" s="387"/>
      <c r="X140" s="387"/>
      <c r="Y140" s="387"/>
      <c r="Z140" s="387"/>
      <c r="AA140" s="387"/>
      <c r="AB140" s="387"/>
      <c r="AC140" s="387"/>
      <c r="AD140" s="387"/>
      <c r="AE140" s="387"/>
      <c r="AF140" s="387"/>
      <c r="AG140" s="387"/>
      <c r="AH140" s="387"/>
      <c r="AI140" s="387"/>
      <c r="AJ140" s="387"/>
      <c r="AK140" s="387"/>
      <c r="AL140" s="387"/>
      <c r="AM140" s="387"/>
      <c r="AN140" s="387"/>
      <c r="AO140" s="387"/>
      <c r="AP140" s="387"/>
      <c r="AQ140" s="387"/>
      <c r="AR140" s="387"/>
      <c r="AS140" s="387"/>
      <c r="AT140" s="387"/>
      <c r="AU140" s="387"/>
      <c r="AV140" s="387"/>
      <c r="AW140" s="387"/>
      <c r="AX140" s="387"/>
      <c r="AY140" s="387"/>
      <c r="AZ140" s="387"/>
      <c r="BA140" s="387"/>
      <c r="BB140" s="387"/>
      <c r="BC140" s="387"/>
      <c r="BD140" s="387"/>
      <c r="BE140" s="387"/>
      <c r="BF140" s="387"/>
      <c r="BG140" s="387"/>
      <c r="BH140" s="387"/>
      <c r="BI140" s="387"/>
      <c r="BJ140" s="387"/>
      <c r="BK140" s="388"/>
    </row>
    <row r="141" spans="1:63" s="425" customFormat="1" ht="18" hidden="1" customHeight="1" x14ac:dyDescent="0.25">
      <c r="A141" s="435" t="s">
        <v>19</v>
      </c>
      <c r="B141" s="435">
        <v>101628</v>
      </c>
      <c r="C141" s="419" t="s">
        <v>20</v>
      </c>
      <c r="D141" s="419" t="s">
        <v>252</v>
      </c>
      <c r="E141" s="435" t="s">
        <v>22</v>
      </c>
      <c r="F141" s="435" t="s">
        <v>23</v>
      </c>
      <c r="G141" s="438">
        <v>46014</v>
      </c>
      <c r="H141" s="403" t="s">
        <v>433</v>
      </c>
      <c r="I141" s="448">
        <v>25050545</v>
      </c>
      <c r="J141" s="449" t="s">
        <v>434</v>
      </c>
      <c r="K141" s="435" t="s">
        <v>435</v>
      </c>
      <c r="L141" s="435" t="s">
        <v>436</v>
      </c>
      <c r="M141" s="435" t="s">
        <v>70</v>
      </c>
      <c r="N141" s="425" t="s">
        <v>52</v>
      </c>
      <c r="O141" s="426" t="s">
        <v>75</v>
      </c>
      <c r="Q141" s="430"/>
      <c r="R141" s="431" t="s">
        <v>437</v>
      </c>
      <c r="S141" s="432"/>
      <c r="T141" s="432"/>
      <c r="U141" s="432"/>
      <c r="V141" s="432"/>
      <c r="W141" s="432"/>
      <c r="X141" s="432"/>
      <c r="Y141" s="432"/>
      <c r="Z141" s="432"/>
      <c r="AA141" s="432"/>
      <c r="AB141" s="432"/>
      <c r="AC141" s="432"/>
      <c r="AD141" s="432"/>
      <c r="AE141" s="432"/>
      <c r="AF141" s="432"/>
      <c r="AG141" s="432"/>
      <c r="AH141" s="432"/>
      <c r="AI141" s="432"/>
      <c r="AJ141" s="432"/>
      <c r="AK141" s="432"/>
      <c r="AL141" s="432"/>
      <c r="AM141" s="432"/>
      <c r="AN141" s="432"/>
      <c r="AO141" s="432"/>
      <c r="AP141" s="432"/>
      <c r="AQ141" s="432"/>
      <c r="AR141" s="432"/>
      <c r="AS141" s="432"/>
      <c r="AT141" s="432"/>
      <c r="AU141" s="432"/>
      <c r="AV141" s="432"/>
      <c r="AW141" s="432"/>
      <c r="AX141" s="432"/>
      <c r="AY141" s="432"/>
      <c r="AZ141" s="432"/>
      <c r="BA141" s="432"/>
      <c r="BB141" s="432"/>
      <c r="BC141" s="432"/>
      <c r="BD141" s="432"/>
      <c r="BE141" s="432"/>
      <c r="BF141" s="432"/>
      <c r="BG141" s="432"/>
      <c r="BH141" s="432"/>
      <c r="BI141" s="432"/>
      <c r="BJ141" s="432"/>
      <c r="BK141" s="433"/>
    </row>
    <row r="142" spans="1:63" s="402" customFormat="1" ht="21" hidden="1" customHeight="1" x14ac:dyDescent="0.2">
      <c r="A142" s="381" t="s">
        <v>19</v>
      </c>
      <c r="B142" s="381">
        <v>101630</v>
      </c>
      <c r="C142" s="382" t="s">
        <v>20</v>
      </c>
      <c r="D142" s="382" t="s">
        <v>40</v>
      </c>
      <c r="E142" s="381" t="s">
        <v>22</v>
      </c>
      <c r="F142" s="381" t="s">
        <v>23</v>
      </c>
      <c r="G142" s="384">
        <v>46018</v>
      </c>
      <c r="H142" s="390" t="s">
        <v>438</v>
      </c>
      <c r="I142" s="393">
        <v>15557017</v>
      </c>
      <c r="J142" s="381" t="s">
        <v>439</v>
      </c>
      <c r="K142" s="381">
        <v>71988463286</v>
      </c>
      <c r="O142" s="420"/>
      <c r="Q142" s="405"/>
      <c r="R142" s="423"/>
      <c r="S142" s="400"/>
      <c r="T142" s="400"/>
      <c r="U142" s="400"/>
      <c r="V142" s="400"/>
      <c r="W142" s="400"/>
      <c r="X142" s="400"/>
      <c r="Y142" s="400"/>
      <c r="Z142" s="400"/>
      <c r="AA142" s="400"/>
      <c r="AB142" s="400"/>
      <c r="AC142" s="400"/>
      <c r="AD142" s="400"/>
      <c r="AE142" s="400"/>
      <c r="AF142" s="400"/>
      <c r="AG142" s="400"/>
      <c r="AH142" s="400"/>
      <c r="AI142" s="400"/>
      <c r="AJ142" s="400"/>
      <c r="AK142" s="400"/>
      <c r="AL142" s="400"/>
      <c r="AM142" s="400"/>
      <c r="AN142" s="400"/>
      <c r="AO142" s="400"/>
      <c r="AP142" s="400"/>
      <c r="AQ142" s="400"/>
      <c r="AR142" s="400"/>
      <c r="AS142" s="400"/>
      <c r="AT142" s="400"/>
      <c r="AU142" s="400"/>
      <c r="AV142" s="400"/>
      <c r="AW142" s="400"/>
      <c r="AX142" s="400"/>
      <c r="AY142" s="400"/>
      <c r="AZ142" s="400"/>
      <c r="BA142" s="400"/>
      <c r="BB142" s="400"/>
      <c r="BC142" s="400"/>
      <c r="BD142" s="400"/>
      <c r="BE142" s="400"/>
      <c r="BF142" s="400"/>
      <c r="BG142" s="400"/>
      <c r="BH142" s="400"/>
      <c r="BI142" s="400"/>
      <c r="BJ142" s="400"/>
      <c r="BK142" s="401"/>
    </row>
    <row r="143" spans="1:63" s="402" customFormat="1" ht="21" hidden="1" customHeight="1" x14ac:dyDescent="0.2">
      <c r="A143" s="381" t="s">
        <v>19</v>
      </c>
      <c r="B143" s="381">
        <v>101626</v>
      </c>
      <c r="C143" s="382" t="s">
        <v>20</v>
      </c>
      <c r="D143" s="382" t="s">
        <v>21</v>
      </c>
      <c r="E143" s="381" t="s">
        <v>22</v>
      </c>
      <c r="F143" s="381" t="s">
        <v>23</v>
      </c>
      <c r="G143" s="384">
        <v>46014</v>
      </c>
      <c r="H143" s="390" t="s">
        <v>440</v>
      </c>
      <c r="I143" s="393">
        <v>21788814</v>
      </c>
      <c r="J143" s="381" t="s">
        <v>441</v>
      </c>
      <c r="K143" s="381">
        <v>71892157004</v>
      </c>
      <c r="M143" s="381" t="s">
        <v>73</v>
      </c>
      <c r="O143" s="420"/>
      <c r="Q143" s="405"/>
      <c r="R143" s="423"/>
      <c r="S143" s="400"/>
      <c r="T143" s="400"/>
      <c r="U143" s="400"/>
      <c r="V143" s="400"/>
      <c r="W143" s="400"/>
      <c r="X143" s="400"/>
      <c r="Y143" s="400"/>
      <c r="Z143" s="400"/>
      <c r="AA143" s="400"/>
      <c r="AB143" s="400"/>
      <c r="AC143" s="400"/>
      <c r="AD143" s="400"/>
      <c r="AE143" s="400"/>
      <c r="AF143" s="400"/>
      <c r="AG143" s="400"/>
      <c r="AH143" s="400"/>
      <c r="AI143" s="400"/>
      <c r="AJ143" s="400"/>
      <c r="AK143" s="400"/>
      <c r="AL143" s="400"/>
      <c r="AM143" s="400"/>
      <c r="AN143" s="400"/>
      <c r="AO143" s="400"/>
      <c r="AP143" s="400"/>
      <c r="AQ143" s="400"/>
      <c r="AR143" s="400"/>
      <c r="AS143" s="400"/>
      <c r="AT143" s="400"/>
      <c r="AU143" s="400"/>
      <c r="AV143" s="400"/>
      <c r="AW143" s="400"/>
      <c r="AX143" s="400"/>
      <c r="AY143" s="400"/>
      <c r="AZ143" s="400"/>
      <c r="BA143" s="400"/>
      <c r="BB143" s="400"/>
      <c r="BC143" s="400"/>
      <c r="BD143" s="400"/>
      <c r="BE143" s="400"/>
      <c r="BF143" s="400"/>
      <c r="BG143" s="400"/>
      <c r="BH143" s="400"/>
      <c r="BI143" s="400"/>
      <c r="BJ143" s="400"/>
      <c r="BK143" s="401"/>
    </row>
    <row r="144" spans="1:63" s="402" customFormat="1" ht="21" hidden="1" customHeight="1" x14ac:dyDescent="0.2">
      <c r="A144" s="415" t="s">
        <v>19</v>
      </c>
      <c r="B144" s="415">
        <v>101623</v>
      </c>
      <c r="C144" s="416" t="s">
        <v>20</v>
      </c>
      <c r="D144" s="416" t="s">
        <v>48</v>
      </c>
      <c r="E144" s="415" t="s">
        <v>22</v>
      </c>
      <c r="F144" s="415" t="s">
        <v>23</v>
      </c>
      <c r="G144" s="417">
        <v>46014</v>
      </c>
      <c r="H144" s="385" t="s">
        <v>442</v>
      </c>
      <c r="I144" s="418">
        <v>25034749</v>
      </c>
      <c r="J144" s="415" t="s">
        <v>443</v>
      </c>
      <c r="K144" s="415"/>
      <c r="L144" s="415">
        <v>71997321066</v>
      </c>
      <c r="M144" s="415" t="s">
        <v>70</v>
      </c>
      <c r="O144" s="420"/>
      <c r="Q144" s="405"/>
      <c r="R144" s="423"/>
      <c r="S144" s="400"/>
      <c r="T144" s="400"/>
      <c r="U144" s="400"/>
      <c r="V144" s="400"/>
      <c r="W144" s="400"/>
      <c r="X144" s="400"/>
      <c r="Y144" s="400"/>
      <c r="Z144" s="400"/>
      <c r="AA144" s="400"/>
      <c r="AB144" s="400"/>
      <c r="AC144" s="400"/>
      <c r="AD144" s="400"/>
      <c r="AE144" s="400"/>
      <c r="AF144" s="400"/>
      <c r="AG144" s="400"/>
      <c r="AH144" s="400"/>
      <c r="AI144" s="400"/>
      <c r="AJ144" s="400"/>
      <c r="AK144" s="400"/>
      <c r="AL144" s="400"/>
      <c r="AM144" s="400"/>
      <c r="AN144" s="400"/>
      <c r="AO144" s="400"/>
      <c r="AP144" s="400"/>
      <c r="AQ144" s="400"/>
      <c r="AR144" s="400"/>
      <c r="AS144" s="400"/>
      <c r="AT144" s="400"/>
      <c r="AU144" s="400"/>
      <c r="AV144" s="400"/>
      <c r="AW144" s="400"/>
      <c r="AX144" s="400"/>
      <c r="AY144" s="400"/>
      <c r="AZ144" s="400"/>
      <c r="BA144" s="400"/>
      <c r="BB144" s="400"/>
      <c r="BC144" s="400"/>
      <c r="BD144" s="400"/>
      <c r="BE144" s="400"/>
      <c r="BF144" s="400"/>
      <c r="BG144" s="400"/>
      <c r="BH144" s="400"/>
      <c r="BI144" s="400"/>
      <c r="BJ144" s="400"/>
      <c r="BK144" s="401"/>
    </row>
    <row r="145" spans="1:63" s="402" customFormat="1" ht="21" hidden="1" customHeight="1" x14ac:dyDescent="0.2">
      <c r="A145" s="415" t="s">
        <v>19</v>
      </c>
      <c r="B145" s="415">
        <v>101623</v>
      </c>
      <c r="C145" s="416" t="s">
        <v>20</v>
      </c>
      <c r="D145" s="416" t="s">
        <v>48</v>
      </c>
      <c r="E145" s="415" t="s">
        <v>22</v>
      </c>
      <c r="F145" s="415" t="s">
        <v>23</v>
      </c>
      <c r="G145" s="417">
        <v>46016</v>
      </c>
      <c r="H145" s="385" t="s">
        <v>444</v>
      </c>
      <c r="I145" s="418">
        <v>25056380</v>
      </c>
      <c r="J145" s="415" t="s">
        <v>445</v>
      </c>
      <c r="K145" s="415">
        <v>71999187144</v>
      </c>
      <c r="L145" s="415">
        <v>71999187144</v>
      </c>
      <c r="M145" s="415" t="s">
        <v>70</v>
      </c>
      <c r="O145" s="420"/>
      <c r="Q145" s="405"/>
      <c r="R145" s="423"/>
      <c r="S145" s="400"/>
      <c r="T145" s="400"/>
      <c r="U145" s="400"/>
      <c r="V145" s="400"/>
      <c r="W145" s="400"/>
      <c r="X145" s="400"/>
      <c r="Y145" s="400"/>
      <c r="Z145" s="400"/>
      <c r="AA145" s="400"/>
      <c r="AB145" s="400"/>
      <c r="AC145" s="400"/>
      <c r="AD145" s="400"/>
      <c r="AE145" s="400"/>
      <c r="AF145" s="400"/>
      <c r="AG145" s="400"/>
      <c r="AH145" s="400"/>
      <c r="AI145" s="400"/>
      <c r="AJ145" s="400"/>
      <c r="AK145" s="400"/>
      <c r="AL145" s="400"/>
      <c r="AM145" s="400"/>
      <c r="AN145" s="400"/>
      <c r="AO145" s="400"/>
      <c r="AP145" s="400"/>
      <c r="AQ145" s="400"/>
      <c r="AR145" s="400"/>
      <c r="AS145" s="400"/>
      <c r="AT145" s="400"/>
      <c r="AU145" s="400"/>
      <c r="AV145" s="400"/>
      <c r="AW145" s="400"/>
      <c r="AX145" s="400"/>
      <c r="AY145" s="400"/>
      <c r="AZ145" s="400"/>
      <c r="BA145" s="400"/>
      <c r="BB145" s="400"/>
      <c r="BC145" s="400"/>
      <c r="BD145" s="400"/>
      <c r="BE145" s="400"/>
      <c r="BF145" s="400"/>
      <c r="BG145" s="400"/>
      <c r="BH145" s="400"/>
      <c r="BI145" s="400"/>
      <c r="BJ145" s="400"/>
      <c r="BK145" s="401"/>
    </row>
    <row r="146" spans="1:63" s="381" customFormat="1" ht="21" hidden="1" customHeight="1" x14ac:dyDescent="0.2">
      <c r="A146" s="381" t="s">
        <v>19</v>
      </c>
      <c r="B146" s="381">
        <v>101627</v>
      </c>
      <c r="C146" s="382" t="s">
        <v>20</v>
      </c>
      <c r="D146" s="382" t="s">
        <v>44</v>
      </c>
      <c r="E146" s="381" t="s">
        <v>22</v>
      </c>
      <c r="F146" s="381" t="s">
        <v>23</v>
      </c>
      <c r="G146" s="384">
        <v>46013</v>
      </c>
      <c r="H146" s="390" t="s">
        <v>446</v>
      </c>
      <c r="I146" s="393">
        <v>20746355</v>
      </c>
      <c r="J146" s="381" t="s">
        <v>447</v>
      </c>
      <c r="K146" s="381">
        <v>71984834713</v>
      </c>
      <c r="L146" s="381">
        <v>71984834713</v>
      </c>
      <c r="M146" s="381" t="s">
        <v>448</v>
      </c>
      <c r="O146" s="382"/>
      <c r="Q146" s="386"/>
      <c r="R146" s="399"/>
      <c r="S146" s="387"/>
      <c r="T146" s="387"/>
      <c r="U146" s="387"/>
      <c r="V146" s="387"/>
      <c r="W146" s="387"/>
      <c r="X146" s="387"/>
      <c r="Y146" s="387"/>
      <c r="Z146" s="387"/>
      <c r="AA146" s="387"/>
      <c r="AB146" s="387"/>
      <c r="AC146" s="387"/>
      <c r="AD146" s="387"/>
      <c r="AE146" s="387"/>
      <c r="AF146" s="387"/>
      <c r="AG146" s="387"/>
      <c r="AH146" s="387"/>
      <c r="AI146" s="387"/>
      <c r="AJ146" s="387"/>
      <c r="AK146" s="387"/>
      <c r="AL146" s="387"/>
      <c r="AM146" s="387"/>
      <c r="AN146" s="387"/>
      <c r="AO146" s="387"/>
      <c r="AP146" s="387"/>
      <c r="AQ146" s="387"/>
      <c r="AR146" s="387"/>
      <c r="AS146" s="387"/>
      <c r="AT146" s="387"/>
      <c r="AU146" s="387"/>
      <c r="AV146" s="387"/>
      <c r="AW146" s="387"/>
      <c r="AX146" s="387"/>
      <c r="AY146" s="387"/>
      <c r="AZ146" s="387"/>
      <c r="BA146" s="387"/>
      <c r="BB146" s="387"/>
      <c r="BC146" s="387"/>
      <c r="BD146" s="387"/>
      <c r="BE146" s="387"/>
      <c r="BF146" s="387"/>
      <c r="BG146" s="387"/>
      <c r="BH146" s="387"/>
      <c r="BI146" s="387"/>
      <c r="BJ146" s="387"/>
      <c r="BK146" s="388"/>
    </row>
    <row r="147" spans="1:63" s="402" customFormat="1" ht="21" hidden="1" customHeight="1" x14ac:dyDescent="0.2">
      <c r="A147" s="415" t="s">
        <v>19</v>
      </c>
      <c r="B147" s="415">
        <v>101631</v>
      </c>
      <c r="C147" s="416" t="s">
        <v>20</v>
      </c>
      <c r="D147" s="416" t="s">
        <v>27</v>
      </c>
      <c r="E147" s="415" t="s">
        <v>22</v>
      </c>
      <c r="F147" s="415" t="s">
        <v>23</v>
      </c>
      <c r="G147" s="417">
        <v>46018</v>
      </c>
      <c r="H147" s="385" t="s">
        <v>449</v>
      </c>
      <c r="I147" s="418">
        <v>161595272</v>
      </c>
      <c r="J147" s="415" t="s">
        <v>450</v>
      </c>
      <c r="K147" s="415">
        <v>71999401799</v>
      </c>
      <c r="L147" s="415">
        <v>71999401799</v>
      </c>
      <c r="M147" s="415" t="s">
        <v>70</v>
      </c>
      <c r="O147" s="420"/>
      <c r="Q147" s="405"/>
      <c r="R147" s="423"/>
      <c r="S147" s="400"/>
      <c r="T147" s="400"/>
      <c r="U147" s="400"/>
      <c r="V147" s="400"/>
      <c r="W147" s="400"/>
      <c r="X147" s="400"/>
      <c r="Y147" s="400"/>
      <c r="Z147" s="400"/>
      <c r="AA147" s="400"/>
      <c r="AB147" s="400"/>
      <c r="AC147" s="400"/>
      <c r="AD147" s="400"/>
      <c r="AE147" s="400"/>
      <c r="AF147" s="400"/>
      <c r="AG147" s="400"/>
      <c r="AH147" s="400"/>
      <c r="AI147" s="400"/>
      <c r="AJ147" s="400"/>
      <c r="AK147" s="400"/>
      <c r="AL147" s="400"/>
      <c r="AM147" s="400"/>
      <c r="AN147" s="400"/>
      <c r="AO147" s="400"/>
      <c r="AP147" s="400"/>
      <c r="AQ147" s="400"/>
      <c r="AR147" s="400"/>
      <c r="AS147" s="400"/>
      <c r="AT147" s="400"/>
      <c r="AU147" s="400"/>
      <c r="AV147" s="400"/>
      <c r="AW147" s="400"/>
      <c r="AX147" s="400"/>
      <c r="AY147" s="400"/>
      <c r="AZ147" s="400"/>
      <c r="BA147" s="400"/>
      <c r="BB147" s="400"/>
      <c r="BC147" s="400"/>
      <c r="BD147" s="400"/>
      <c r="BE147" s="400"/>
      <c r="BF147" s="400"/>
      <c r="BG147" s="400"/>
      <c r="BH147" s="400"/>
      <c r="BI147" s="400"/>
      <c r="BJ147" s="400"/>
      <c r="BK147" s="401"/>
    </row>
    <row r="148" spans="1:63" s="402" customFormat="1" ht="21" hidden="1" customHeight="1" x14ac:dyDescent="0.2">
      <c r="A148" s="415" t="s">
        <v>19</v>
      </c>
      <c r="B148" s="415">
        <v>101628</v>
      </c>
      <c r="C148" s="416" t="s">
        <v>20</v>
      </c>
      <c r="D148" s="416" t="s">
        <v>252</v>
      </c>
      <c r="E148" s="415" t="s">
        <v>22</v>
      </c>
      <c r="F148" s="415" t="s">
        <v>23</v>
      </c>
      <c r="G148" s="417">
        <v>46015</v>
      </c>
      <c r="H148" s="450" t="s">
        <v>451</v>
      </c>
      <c r="I148" s="418">
        <v>25052433</v>
      </c>
      <c r="J148" s="407" t="s">
        <v>452</v>
      </c>
      <c r="K148" s="415">
        <v>71981454425</v>
      </c>
      <c r="L148" s="415">
        <v>71981454425</v>
      </c>
      <c r="M148" s="415" t="s">
        <v>70</v>
      </c>
      <c r="O148" s="420"/>
      <c r="Q148" s="405"/>
      <c r="R148" s="423"/>
      <c r="S148" s="400"/>
      <c r="T148" s="400"/>
      <c r="U148" s="400"/>
      <c r="V148" s="400"/>
      <c r="W148" s="400"/>
      <c r="X148" s="400"/>
      <c r="Y148" s="400"/>
      <c r="Z148" s="400"/>
      <c r="AA148" s="400"/>
      <c r="AB148" s="400"/>
      <c r="AC148" s="400"/>
      <c r="AD148" s="400"/>
      <c r="AE148" s="400"/>
      <c r="AF148" s="400"/>
      <c r="AG148" s="400"/>
      <c r="AH148" s="400"/>
      <c r="AI148" s="400"/>
      <c r="AJ148" s="400"/>
      <c r="AK148" s="400"/>
      <c r="AL148" s="400"/>
      <c r="AM148" s="400"/>
      <c r="AN148" s="400"/>
      <c r="AO148" s="400"/>
      <c r="AP148" s="400"/>
      <c r="AQ148" s="400"/>
      <c r="AR148" s="400"/>
      <c r="AS148" s="400"/>
      <c r="AT148" s="400"/>
      <c r="AU148" s="400"/>
      <c r="AV148" s="400"/>
      <c r="AW148" s="400"/>
      <c r="AX148" s="400"/>
      <c r="AY148" s="400"/>
      <c r="AZ148" s="400"/>
      <c r="BA148" s="400"/>
      <c r="BB148" s="400"/>
      <c r="BC148" s="400"/>
      <c r="BD148" s="400"/>
      <c r="BE148" s="400"/>
      <c r="BF148" s="400"/>
      <c r="BG148" s="400"/>
      <c r="BH148" s="400"/>
      <c r="BI148" s="400"/>
      <c r="BJ148" s="400"/>
      <c r="BK148" s="401"/>
    </row>
    <row r="149" spans="1:63" s="402" customFormat="1" ht="21" hidden="1" customHeight="1" x14ac:dyDescent="0.2">
      <c r="A149" s="415" t="s">
        <v>19</v>
      </c>
      <c r="B149" s="415">
        <v>101630</v>
      </c>
      <c r="C149" s="416" t="s">
        <v>20</v>
      </c>
      <c r="D149" s="416" t="s">
        <v>40</v>
      </c>
      <c r="E149" s="415" t="s">
        <v>22</v>
      </c>
      <c r="F149" s="415" t="s">
        <v>23</v>
      </c>
      <c r="G149" s="417">
        <v>46008</v>
      </c>
      <c r="H149" s="385" t="s">
        <v>453</v>
      </c>
      <c r="I149" s="418">
        <v>91146979</v>
      </c>
      <c r="J149" s="415" t="s">
        <v>454</v>
      </c>
      <c r="K149" s="415">
        <v>71986611335</v>
      </c>
      <c r="L149" s="415">
        <v>71981874260</v>
      </c>
      <c r="M149" s="415" t="s">
        <v>70</v>
      </c>
      <c r="O149" s="420"/>
      <c r="Q149" s="405"/>
      <c r="R149" s="423"/>
      <c r="S149" s="400"/>
      <c r="T149" s="400"/>
      <c r="U149" s="400"/>
      <c r="V149" s="400"/>
      <c r="W149" s="400"/>
      <c r="X149" s="400"/>
      <c r="Y149" s="400"/>
      <c r="Z149" s="400"/>
      <c r="AA149" s="400"/>
      <c r="AB149" s="400"/>
      <c r="AC149" s="400"/>
      <c r="AD149" s="400"/>
      <c r="AE149" s="400"/>
      <c r="AF149" s="400"/>
      <c r="AG149" s="400"/>
      <c r="AH149" s="400"/>
      <c r="AI149" s="400"/>
      <c r="AJ149" s="400"/>
      <c r="AK149" s="400"/>
      <c r="AL149" s="400"/>
      <c r="AM149" s="400"/>
      <c r="AN149" s="400"/>
      <c r="AO149" s="400"/>
      <c r="AP149" s="400"/>
      <c r="AQ149" s="400"/>
      <c r="AR149" s="400"/>
      <c r="AS149" s="400"/>
      <c r="AT149" s="400"/>
      <c r="AU149" s="400"/>
      <c r="AV149" s="400"/>
      <c r="AW149" s="400"/>
      <c r="AX149" s="400"/>
      <c r="AY149" s="400"/>
      <c r="AZ149" s="400"/>
      <c r="BA149" s="400"/>
      <c r="BB149" s="400"/>
      <c r="BC149" s="400"/>
      <c r="BD149" s="400"/>
      <c r="BE149" s="400"/>
      <c r="BF149" s="400"/>
      <c r="BG149" s="400"/>
      <c r="BH149" s="400"/>
      <c r="BI149" s="400"/>
      <c r="BJ149" s="400"/>
      <c r="BK149" s="401"/>
    </row>
    <row r="150" spans="1:63" s="381" customFormat="1" ht="21" hidden="1" customHeight="1" x14ac:dyDescent="0.2">
      <c r="A150" s="381" t="s">
        <v>19</v>
      </c>
      <c r="B150" s="381">
        <v>101627</v>
      </c>
      <c r="C150" s="382" t="s">
        <v>20</v>
      </c>
      <c r="D150" s="382" t="s">
        <v>44</v>
      </c>
      <c r="E150" s="381" t="s">
        <v>22</v>
      </c>
      <c r="F150" s="381" t="s">
        <v>23</v>
      </c>
      <c r="G150" s="384">
        <v>46009</v>
      </c>
      <c r="H150" s="390" t="s">
        <v>455</v>
      </c>
      <c r="I150" s="393">
        <v>21762801</v>
      </c>
      <c r="J150" s="381" t="s">
        <v>456</v>
      </c>
      <c r="K150" s="381">
        <v>71987815521</v>
      </c>
      <c r="L150" s="381">
        <v>71987815521</v>
      </c>
      <c r="M150" s="381" t="s">
        <v>70</v>
      </c>
      <c r="O150" s="382"/>
      <c r="Q150" s="386"/>
      <c r="R150" s="399"/>
      <c r="S150" s="387"/>
      <c r="T150" s="387"/>
      <c r="U150" s="387"/>
      <c r="V150" s="387"/>
      <c r="W150" s="387"/>
      <c r="X150" s="387"/>
      <c r="Y150" s="387"/>
      <c r="Z150" s="387"/>
      <c r="AA150" s="387"/>
      <c r="AB150" s="387"/>
      <c r="AC150" s="387"/>
      <c r="AD150" s="387"/>
      <c r="AE150" s="387"/>
      <c r="AF150" s="387"/>
      <c r="AG150" s="387"/>
      <c r="AH150" s="387"/>
      <c r="AI150" s="387"/>
      <c r="AJ150" s="387"/>
      <c r="AK150" s="387"/>
      <c r="AL150" s="387"/>
      <c r="AM150" s="387"/>
      <c r="AN150" s="387"/>
      <c r="AO150" s="387"/>
      <c r="AP150" s="387"/>
      <c r="AQ150" s="387"/>
      <c r="AR150" s="387"/>
      <c r="AS150" s="387"/>
      <c r="AT150" s="387"/>
      <c r="AU150" s="387"/>
      <c r="AV150" s="387"/>
      <c r="AW150" s="387"/>
      <c r="AX150" s="387"/>
      <c r="AY150" s="387"/>
      <c r="AZ150" s="387"/>
      <c r="BA150" s="387"/>
      <c r="BB150" s="387"/>
      <c r="BC150" s="387"/>
      <c r="BD150" s="387"/>
      <c r="BE150" s="387"/>
      <c r="BF150" s="387"/>
      <c r="BG150" s="387"/>
      <c r="BH150" s="387"/>
      <c r="BI150" s="387"/>
      <c r="BJ150" s="387"/>
      <c r="BK150" s="388"/>
    </row>
    <row r="151" spans="1:63" s="402" customFormat="1" ht="21" hidden="1" customHeight="1" x14ac:dyDescent="0.2">
      <c r="A151" s="415" t="s">
        <v>19</v>
      </c>
      <c r="B151" s="415">
        <v>101630</v>
      </c>
      <c r="C151" s="416" t="s">
        <v>20</v>
      </c>
      <c r="D151" s="416" t="s">
        <v>40</v>
      </c>
      <c r="E151" s="415" t="s">
        <v>22</v>
      </c>
      <c r="F151" s="415" t="s">
        <v>23</v>
      </c>
      <c r="G151" s="417">
        <v>46019</v>
      </c>
      <c r="H151" s="415" t="s">
        <v>457</v>
      </c>
      <c r="I151" s="418" t="s">
        <v>458</v>
      </c>
      <c r="J151" s="436" t="s">
        <v>459</v>
      </c>
      <c r="K151" s="415">
        <v>75982041488</v>
      </c>
      <c r="L151" s="415">
        <v>75982041488</v>
      </c>
      <c r="M151" s="415" t="s">
        <v>70</v>
      </c>
      <c r="N151" s="415" t="s">
        <v>52</v>
      </c>
      <c r="O151" s="415" t="s">
        <v>460</v>
      </c>
      <c r="Q151" s="405"/>
      <c r="R151" s="420" t="s">
        <v>461</v>
      </c>
      <c r="S151" s="400"/>
      <c r="T151" s="400"/>
      <c r="U151" s="400"/>
      <c r="V151" s="400"/>
      <c r="W151" s="400"/>
      <c r="X151" s="400"/>
      <c r="Y151" s="400"/>
      <c r="Z151" s="400"/>
      <c r="AA151" s="400"/>
      <c r="AB151" s="400"/>
      <c r="AC151" s="400"/>
      <c r="AD151" s="400"/>
      <c r="AE151" s="400"/>
      <c r="AF151" s="400"/>
      <c r="AG151" s="400"/>
      <c r="AH151" s="400"/>
      <c r="AI151" s="400"/>
      <c r="AJ151" s="400"/>
      <c r="AK151" s="400"/>
      <c r="AL151" s="400"/>
      <c r="AM151" s="400"/>
      <c r="AN151" s="400"/>
      <c r="AO151" s="400"/>
      <c r="AP151" s="400"/>
      <c r="AQ151" s="400"/>
      <c r="AR151" s="400"/>
      <c r="AS151" s="400"/>
      <c r="AT151" s="400"/>
      <c r="AU151" s="400"/>
      <c r="AV151" s="400"/>
      <c r="AW151" s="400"/>
      <c r="AX151" s="400"/>
      <c r="AY151" s="400"/>
      <c r="AZ151" s="400"/>
      <c r="BA151" s="400"/>
      <c r="BB151" s="400"/>
      <c r="BC151" s="400"/>
      <c r="BD151" s="400"/>
      <c r="BE151" s="400"/>
      <c r="BF151" s="400"/>
      <c r="BG151" s="400"/>
      <c r="BH151" s="400"/>
      <c r="BI151" s="400"/>
      <c r="BJ151" s="400"/>
      <c r="BK151" s="401"/>
    </row>
    <row r="152" spans="1:63" s="381" customFormat="1" ht="21" hidden="1" customHeight="1" x14ac:dyDescent="0.2">
      <c r="A152" s="381" t="s">
        <v>19</v>
      </c>
      <c r="B152" s="381">
        <v>101627</v>
      </c>
      <c r="C152" s="382" t="s">
        <v>20</v>
      </c>
      <c r="D152" s="382" t="s">
        <v>44</v>
      </c>
      <c r="E152" s="381" t="s">
        <v>22</v>
      </c>
      <c r="F152" s="381" t="s">
        <v>23</v>
      </c>
      <c r="G152" s="384">
        <v>46011</v>
      </c>
      <c r="H152" s="390" t="s">
        <v>462</v>
      </c>
      <c r="I152" s="393">
        <v>81028111</v>
      </c>
      <c r="J152" s="391" t="s">
        <v>463</v>
      </c>
      <c r="K152" s="381">
        <v>71981206465</v>
      </c>
      <c r="M152" s="381" t="s">
        <v>73</v>
      </c>
      <c r="N152" s="381" t="s">
        <v>52</v>
      </c>
      <c r="O152" s="382" t="s">
        <v>464</v>
      </c>
      <c r="Q152" s="386"/>
      <c r="R152" s="399" t="s">
        <v>465</v>
      </c>
      <c r="S152" s="387"/>
      <c r="T152" s="387"/>
      <c r="U152" s="387"/>
      <c r="V152" s="387"/>
      <c r="W152" s="387"/>
      <c r="X152" s="387"/>
      <c r="Y152" s="387"/>
      <c r="Z152" s="387"/>
      <c r="AA152" s="387"/>
      <c r="AB152" s="387"/>
      <c r="AC152" s="387"/>
      <c r="AD152" s="387"/>
      <c r="AE152" s="387"/>
      <c r="AF152" s="387"/>
      <c r="AG152" s="387"/>
      <c r="AH152" s="387"/>
      <c r="AI152" s="387"/>
      <c r="AJ152" s="387"/>
      <c r="AK152" s="387"/>
      <c r="AL152" s="387"/>
      <c r="AM152" s="387"/>
      <c r="AN152" s="387"/>
      <c r="AO152" s="387"/>
      <c r="AP152" s="387"/>
      <c r="AQ152" s="387"/>
      <c r="AR152" s="387"/>
      <c r="AS152" s="387"/>
      <c r="AT152" s="387"/>
      <c r="AU152" s="387"/>
      <c r="AV152" s="387"/>
      <c r="AW152" s="387"/>
      <c r="AX152" s="387"/>
      <c r="AY152" s="387"/>
      <c r="AZ152" s="387"/>
      <c r="BA152" s="387"/>
      <c r="BB152" s="387"/>
      <c r="BC152" s="387"/>
      <c r="BD152" s="387"/>
      <c r="BE152" s="387"/>
      <c r="BF152" s="387"/>
      <c r="BG152" s="387"/>
      <c r="BH152" s="387"/>
      <c r="BI152" s="387"/>
      <c r="BJ152" s="387"/>
      <c r="BK152" s="388"/>
    </row>
    <row r="153" spans="1:63" s="381" customFormat="1" ht="21" hidden="1" customHeight="1" x14ac:dyDescent="0.2">
      <c r="A153" s="381" t="s">
        <v>19</v>
      </c>
      <c r="B153" s="381">
        <v>101627</v>
      </c>
      <c r="C153" s="382" t="s">
        <v>20</v>
      </c>
      <c r="D153" s="382" t="s">
        <v>44</v>
      </c>
      <c r="E153" s="381" t="s">
        <v>22</v>
      </c>
      <c r="F153" s="381" t="s">
        <v>23</v>
      </c>
      <c r="G153" s="384">
        <v>45981</v>
      </c>
      <c r="H153" s="390" t="s">
        <v>466</v>
      </c>
      <c r="I153" s="393">
        <v>25051610</v>
      </c>
      <c r="J153" s="381" t="s">
        <v>467</v>
      </c>
      <c r="K153" s="381">
        <v>75998945658</v>
      </c>
      <c r="L153" s="381">
        <v>75998945658</v>
      </c>
      <c r="M153" s="381" t="s">
        <v>70</v>
      </c>
      <c r="O153" s="382" t="s">
        <v>468</v>
      </c>
      <c r="Q153" s="386"/>
      <c r="R153" s="399" t="s">
        <v>469</v>
      </c>
      <c r="S153" s="387"/>
      <c r="T153" s="387"/>
      <c r="U153" s="387"/>
      <c r="V153" s="387"/>
      <c r="W153" s="387"/>
      <c r="X153" s="387"/>
      <c r="Y153" s="387"/>
      <c r="Z153" s="387"/>
      <c r="AA153" s="387"/>
      <c r="AB153" s="387"/>
      <c r="AC153" s="387"/>
      <c r="AD153" s="387"/>
      <c r="AE153" s="387"/>
      <c r="AF153" s="387"/>
      <c r="AG153" s="387"/>
      <c r="AH153" s="387"/>
      <c r="AI153" s="387"/>
      <c r="AJ153" s="387"/>
      <c r="AK153" s="387"/>
      <c r="AL153" s="387"/>
      <c r="AM153" s="387"/>
      <c r="AN153" s="387"/>
      <c r="AO153" s="387"/>
      <c r="AP153" s="387"/>
      <c r="AQ153" s="387"/>
      <c r="AR153" s="387"/>
      <c r="AS153" s="387"/>
      <c r="AT153" s="387"/>
      <c r="AU153" s="387"/>
      <c r="AV153" s="387"/>
      <c r="AW153" s="387"/>
      <c r="AX153" s="387"/>
      <c r="AY153" s="387"/>
      <c r="AZ153" s="387"/>
      <c r="BA153" s="387"/>
      <c r="BB153" s="387"/>
      <c r="BC153" s="387"/>
      <c r="BD153" s="387"/>
      <c r="BE153" s="387"/>
      <c r="BF153" s="387"/>
      <c r="BG153" s="387"/>
      <c r="BH153" s="387"/>
      <c r="BI153" s="387"/>
      <c r="BJ153" s="387"/>
      <c r="BK153" s="388"/>
    </row>
    <row r="154" spans="1:63" s="402" customFormat="1" ht="21" hidden="1" customHeight="1" x14ac:dyDescent="0.2">
      <c r="A154" s="415" t="s">
        <v>19</v>
      </c>
      <c r="B154" s="415">
        <v>101628</v>
      </c>
      <c r="C154" s="416" t="s">
        <v>20</v>
      </c>
      <c r="D154" s="416" t="s">
        <v>252</v>
      </c>
      <c r="E154" s="415" t="s">
        <v>22</v>
      </c>
      <c r="F154" s="415" t="s">
        <v>23</v>
      </c>
      <c r="G154" s="417">
        <v>46020</v>
      </c>
      <c r="H154" s="385" t="s">
        <v>470</v>
      </c>
      <c r="I154" s="418">
        <v>25056460</v>
      </c>
      <c r="J154" s="415" t="s">
        <v>471</v>
      </c>
      <c r="K154" s="415">
        <v>71981493787</v>
      </c>
      <c r="L154" s="415">
        <v>71981493787</v>
      </c>
      <c r="M154" s="415" t="s">
        <v>70</v>
      </c>
      <c r="O154" s="420"/>
      <c r="Q154" s="405"/>
      <c r="R154" s="423"/>
      <c r="S154" s="400"/>
      <c r="T154" s="400"/>
      <c r="U154" s="400"/>
      <c r="V154" s="400"/>
      <c r="W154" s="400"/>
      <c r="X154" s="400"/>
      <c r="Y154" s="400"/>
      <c r="Z154" s="400"/>
      <c r="AA154" s="400"/>
      <c r="AB154" s="400"/>
      <c r="AC154" s="400"/>
      <c r="AD154" s="400"/>
      <c r="AE154" s="400"/>
      <c r="AF154" s="400"/>
      <c r="AG154" s="400"/>
      <c r="AH154" s="400"/>
      <c r="AI154" s="400"/>
      <c r="AJ154" s="400"/>
      <c r="AK154" s="400"/>
      <c r="AL154" s="400"/>
      <c r="AM154" s="400"/>
      <c r="AN154" s="400"/>
      <c r="AO154" s="400"/>
      <c r="AP154" s="400"/>
      <c r="AQ154" s="400"/>
      <c r="AR154" s="400"/>
      <c r="AS154" s="400"/>
      <c r="AT154" s="400"/>
      <c r="AU154" s="400"/>
      <c r="AV154" s="400"/>
      <c r="AW154" s="400"/>
      <c r="AX154" s="400"/>
      <c r="AY154" s="400"/>
      <c r="AZ154" s="400"/>
      <c r="BA154" s="400"/>
      <c r="BB154" s="400"/>
      <c r="BC154" s="400"/>
      <c r="BD154" s="400"/>
      <c r="BE154" s="400"/>
      <c r="BF154" s="400"/>
      <c r="BG154" s="400"/>
      <c r="BH154" s="400"/>
      <c r="BI154" s="400"/>
      <c r="BJ154" s="400"/>
      <c r="BK154" s="401"/>
    </row>
    <row r="155" spans="1:63" s="381" customFormat="1" ht="21" hidden="1" customHeight="1" x14ac:dyDescent="0.2">
      <c r="A155" s="381" t="s">
        <v>19</v>
      </c>
      <c r="B155" s="381">
        <v>101631</v>
      </c>
      <c r="C155" s="382" t="s">
        <v>20</v>
      </c>
      <c r="D155" s="382" t="s">
        <v>27</v>
      </c>
      <c r="E155" s="381" t="s">
        <v>22</v>
      </c>
      <c r="F155" s="381" t="s">
        <v>23</v>
      </c>
      <c r="G155" s="384">
        <v>46022</v>
      </c>
      <c r="H155" s="390" t="s">
        <v>472</v>
      </c>
      <c r="I155" s="393">
        <v>21813560</v>
      </c>
      <c r="J155" s="381" t="s">
        <v>473</v>
      </c>
      <c r="K155" s="381">
        <v>71996549388</v>
      </c>
      <c r="L155" s="381">
        <v>71996549388</v>
      </c>
      <c r="M155" s="381" t="s">
        <v>70</v>
      </c>
      <c r="O155" s="382" t="s">
        <v>313</v>
      </c>
      <c r="Q155" s="386"/>
      <c r="R155" s="399" t="s">
        <v>474</v>
      </c>
      <c r="S155" s="387"/>
      <c r="T155" s="387"/>
      <c r="U155" s="387"/>
      <c r="V155" s="387"/>
      <c r="W155" s="387"/>
      <c r="X155" s="387"/>
      <c r="Y155" s="387"/>
      <c r="Z155" s="387"/>
      <c r="AA155" s="387"/>
      <c r="AB155" s="387"/>
      <c r="AC155" s="387"/>
      <c r="AD155" s="387"/>
      <c r="AE155" s="387"/>
      <c r="AF155" s="387"/>
      <c r="AG155" s="387"/>
      <c r="AH155" s="387"/>
      <c r="AI155" s="387"/>
      <c r="AJ155" s="387"/>
      <c r="AK155" s="387"/>
      <c r="AL155" s="387"/>
      <c r="AM155" s="387"/>
      <c r="AN155" s="387"/>
      <c r="AO155" s="387"/>
      <c r="AP155" s="387"/>
      <c r="AQ155" s="387"/>
      <c r="AR155" s="387"/>
      <c r="AS155" s="387"/>
      <c r="AT155" s="387"/>
      <c r="AU155" s="387"/>
      <c r="AV155" s="387"/>
      <c r="AW155" s="387"/>
      <c r="AX155" s="387"/>
      <c r="AY155" s="387"/>
      <c r="AZ155" s="387"/>
      <c r="BA155" s="387"/>
      <c r="BB155" s="387"/>
      <c r="BC155" s="387"/>
      <c r="BD155" s="387"/>
      <c r="BE155" s="387"/>
      <c r="BF155" s="387"/>
      <c r="BG155" s="387"/>
      <c r="BH155" s="387"/>
      <c r="BI155" s="387"/>
      <c r="BJ155" s="387"/>
      <c r="BK155" s="388"/>
    </row>
    <row r="156" spans="1:63" s="402" customFormat="1" ht="21" hidden="1" customHeight="1" x14ac:dyDescent="0.2">
      <c r="A156" s="415" t="s">
        <v>19</v>
      </c>
      <c r="B156" s="415">
        <v>101623</v>
      </c>
      <c r="C156" s="416" t="s">
        <v>20</v>
      </c>
      <c r="D156" s="416" t="s">
        <v>48</v>
      </c>
      <c r="E156" s="415" t="s">
        <v>22</v>
      </c>
      <c r="F156" s="415" t="s">
        <v>23</v>
      </c>
      <c r="G156" s="417">
        <v>46015</v>
      </c>
      <c r="H156" s="385" t="s">
        <v>475</v>
      </c>
      <c r="I156" s="418">
        <v>25056375</v>
      </c>
      <c r="J156" s="415" t="s">
        <v>476</v>
      </c>
      <c r="K156" s="415">
        <v>71985601060</v>
      </c>
      <c r="L156" s="415">
        <v>71985601060</v>
      </c>
      <c r="M156" s="415" t="s">
        <v>70</v>
      </c>
      <c r="O156" s="420"/>
      <c r="P156" s="402" t="s">
        <v>97</v>
      </c>
      <c r="Q156" s="405"/>
      <c r="R156" s="423" t="s">
        <v>477</v>
      </c>
      <c r="S156" s="400" t="s">
        <v>97</v>
      </c>
      <c r="T156" s="400"/>
      <c r="U156" s="400"/>
      <c r="V156" s="400"/>
      <c r="W156" s="400"/>
      <c r="X156" s="400"/>
      <c r="Y156" s="400"/>
      <c r="Z156" s="400"/>
      <c r="AA156" s="400"/>
      <c r="AB156" s="400"/>
      <c r="AC156" s="400"/>
      <c r="AD156" s="400"/>
      <c r="AE156" s="400"/>
      <c r="AF156" s="400"/>
      <c r="AG156" s="400"/>
      <c r="AH156" s="400"/>
      <c r="AI156" s="400"/>
      <c r="AJ156" s="400"/>
      <c r="AK156" s="400"/>
      <c r="AL156" s="400"/>
      <c r="AM156" s="400"/>
      <c r="AN156" s="400"/>
      <c r="AO156" s="400"/>
      <c r="AP156" s="400"/>
      <c r="AQ156" s="400"/>
      <c r="AR156" s="400"/>
      <c r="AS156" s="400"/>
      <c r="AT156" s="400"/>
      <c r="AU156" s="400"/>
      <c r="AV156" s="400"/>
      <c r="AW156" s="400"/>
      <c r="AX156" s="400"/>
      <c r="AY156" s="400"/>
      <c r="AZ156" s="400"/>
      <c r="BA156" s="400"/>
      <c r="BB156" s="400"/>
      <c r="BC156" s="400"/>
      <c r="BD156" s="400"/>
      <c r="BE156" s="400"/>
      <c r="BF156" s="400"/>
      <c r="BG156" s="400"/>
      <c r="BH156" s="400"/>
      <c r="BI156" s="400"/>
      <c r="BJ156" s="400"/>
      <c r="BK156" s="401"/>
    </row>
    <row r="157" spans="1:63" s="381" customFormat="1" ht="21" hidden="1" customHeight="1" x14ac:dyDescent="0.2">
      <c r="A157" s="381" t="s">
        <v>19</v>
      </c>
      <c r="B157" s="381">
        <v>101626</v>
      </c>
      <c r="C157" s="382" t="s">
        <v>20</v>
      </c>
      <c r="D157" s="382" t="s">
        <v>21</v>
      </c>
      <c r="E157" s="381" t="s">
        <v>22</v>
      </c>
      <c r="F157" s="381" t="s">
        <v>23</v>
      </c>
      <c r="G157" s="384">
        <v>46015</v>
      </c>
      <c r="H157" s="390" t="s">
        <v>478</v>
      </c>
      <c r="I157" s="393">
        <v>25056376</v>
      </c>
      <c r="J157" s="381" t="s">
        <v>479</v>
      </c>
      <c r="K157" s="381">
        <v>71981044988</v>
      </c>
      <c r="L157" s="381">
        <v>71981044988</v>
      </c>
      <c r="M157" s="381" t="s">
        <v>70</v>
      </c>
      <c r="O157" s="382" t="s">
        <v>480</v>
      </c>
      <c r="Q157" s="386"/>
      <c r="R157" s="399" t="s">
        <v>481</v>
      </c>
      <c r="S157" s="387"/>
      <c r="T157" s="387"/>
      <c r="U157" s="387"/>
      <c r="V157" s="387"/>
      <c r="W157" s="387"/>
      <c r="X157" s="387"/>
      <c r="Y157" s="387"/>
      <c r="Z157" s="387"/>
      <c r="AA157" s="387"/>
      <c r="AB157" s="387"/>
      <c r="AC157" s="387"/>
      <c r="AD157" s="387"/>
      <c r="AE157" s="387"/>
      <c r="AF157" s="387"/>
      <c r="AG157" s="387"/>
      <c r="AH157" s="387"/>
      <c r="AI157" s="387"/>
      <c r="AJ157" s="387"/>
      <c r="AK157" s="387"/>
      <c r="AL157" s="387"/>
      <c r="AM157" s="387"/>
      <c r="AN157" s="387"/>
      <c r="AO157" s="387"/>
      <c r="AP157" s="387"/>
      <c r="AQ157" s="387"/>
      <c r="AR157" s="387"/>
      <c r="AS157" s="387"/>
      <c r="AT157" s="387"/>
      <c r="AU157" s="387"/>
      <c r="AV157" s="387"/>
      <c r="AW157" s="387"/>
      <c r="AX157" s="387"/>
      <c r="AY157" s="387"/>
      <c r="AZ157" s="387"/>
      <c r="BA157" s="387"/>
      <c r="BB157" s="387"/>
      <c r="BC157" s="387"/>
      <c r="BD157" s="387"/>
      <c r="BE157" s="387"/>
      <c r="BF157" s="387"/>
      <c r="BG157" s="387"/>
      <c r="BH157" s="387"/>
      <c r="BI157" s="387"/>
      <c r="BJ157" s="387"/>
      <c r="BK157" s="388"/>
    </row>
    <row r="158" spans="1:63" s="402" customFormat="1" ht="21" hidden="1" customHeight="1" x14ac:dyDescent="0.2">
      <c r="A158" s="415" t="s">
        <v>19</v>
      </c>
      <c r="B158" s="415">
        <v>101630</v>
      </c>
      <c r="C158" s="416" t="s">
        <v>20</v>
      </c>
      <c r="D158" s="416" t="s">
        <v>40</v>
      </c>
      <c r="E158" s="415" t="s">
        <v>22</v>
      </c>
      <c r="F158" s="415" t="s">
        <v>23</v>
      </c>
      <c r="G158" s="417">
        <v>46024</v>
      </c>
      <c r="H158" s="385" t="s">
        <v>482</v>
      </c>
      <c r="I158" s="418">
        <v>12297573</v>
      </c>
      <c r="J158" s="415" t="s">
        <v>483</v>
      </c>
      <c r="K158" s="415">
        <v>71992791833</v>
      </c>
      <c r="L158" s="415">
        <v>71992791833</v>
      </c>
      <c r="M158" s="415" t="s">
        <v>70</v>
      </c>
      <c r="O158" s="420"/>
      <c r="Q158" s="405"/>
      <c r="R158" s="423"/>
      <c r="S158" s="400"/>
      <c r="T158" s="400"/>
      <c r="U158" s="400"/>
      <c r="V158" s="400"/>
      <c r="W158" s="400"/>
      <c r="X158" s="400"/>
      <c r="Y158" s="400"/>
      <c r="Z158" s="400"/>
      <c r="AA158" s="400"/>
      <c r="AB158" s="400"/>
      <c r="AC158" s="400"/>
      <c r="AD158" s="400"/>
      <c r="AE158" s="400"/>
      <c r="AF158" s="400"/>
      <c r="AG158" s="400"/>
      <c r="AH158" s="400"/>
      <c r="AI158" s="400"/>
      <c r="AJ158" s="400"/>
      <c r="AK158" s="400"/>
      <c r="AL158" s="400"/>
      <c r="AM158" s="400"/>
      <c r="AN158" s="400"/>
      <c r="AO158" s="400"/>
      <c r="AP158" s="400"/>
      <c r="AQ158" s="400"/>
      <c r="AR158" s="400"/>
      <c r="AS158" s="400"/>
      <c r="AT158" s="400"/>
      <c r="AU158" s="400"/>
      <c r="AV158" s="400"/>
      <c r="AW158" s="400"/>
      <c r="AX158" s="400"/>
      <c r="AY158" s="400"/>
      <c r="AZ158" s="400"/>
      <c r="BA158" s="400"/>
      <c r="BB158" s="400"/>
      <c r="BC158" s="400"/>
      <c r="BD158" s="400"/>
      <c r="BE158" s="400"/>
      <c r="BF158" s="400"/>
      <c r="BG158" s="400"/>
      <c r="BH158" s="400"/>
      <c r="BI158" s="400"/>
      <c r="BJ158" s="400"/>
      <c r="BK158" s="401"/>
    </row>
    <row r="159" spans="1:63" s="381" customFormat="1" ht="21" hidden="1" customHeight="1" x14ac:dyDescent="0.2">
      <c r="A159" s="381" t="s">
        <v>19</v>
      </c>
      <c r="B159" s="381">
        <v>101630</v>
      </c>
      <c r="C159" s="382" t="s">
        <v>20</v>
      </c>
      <c r="D159" s="382" t="s">
        <v>40</v>
      </c>
      <c r="E159" s="381" t="s">
        <v>22</v>
      </c>
      <c r="F159" s="381" t="s">
        <v>23</v>
      </c>
      <c r="G159" s="384">
        <v>45998</v>
      </c>
      <c r="H159" s="390" t="s">
        <v>484</v>
      </c>
      <c r="I159" s="393">
        <v>81015287</v>
      </c>
      <c r="J159" s="381" t="s">
        <v>485</v>
      </c>
      <c r="K159" s="381">
        <v>71991404146</v>
      </c>
      <c r="L159" s="381">
        <v>71991404146</v>
      </c>
      <c r="M159" s="381" t="s">
        <v>310</v>
      </c>
      <c r="O159" s="382"/>
      <c r="Q159" s="386"/>
      <c r="R159" s="399"/>
      <c r="S159" s="387"/>
      <c r="T159" s="387"/>
      <c r="U159" s="387"/>
      <c r="V159" s="387"/>
      <c r="W159" s="387"/>
      <c r="X159" s="387"/>
      <c r="Y159" s="387"/>
      <c r="Z159" s="387"/>
      <c r="AA159" s="387"/>
      <c r="AB159" s="387"/>
      <c r="AC159" s="387"/>
      <c r="AD159" s="387"/>
      <c r="AE159" s="387"/>
      <c r="AF159" s="387"/>
      <c r="AG159" s="387"/>
      <c r="AH159" s="387"/>
      <c r="AI159" s="387"/>
      <c r="AJ159" s="387"/>
      <c r="AK159" s="387"/>
      <c r="AL159" s="387"/>
      <c r="AM159" s="387"/>
      <c r="AN159" s="387"/>
      <c r="AO159" s="387"/>
      <c r="AP159" s="387"/>
      <c r="AQ159" s="387"/>
      <c r="AR159" s="387"/>
      <c r="AS159" s="387"/>
      <c r="AT159" s="387"/>
      <c r="AU159" s="387"/>
      <c r="AV159" s="387"/>
      <c r="AW159" s="387"/>
      <c r="AX159" s="387"/>
      <c r="AY159" s="387"/>
      <c r="AZ159" s="387"/>
      <c r="BA159" s="387"/>
      <c r="BB159" s="387"/>
      <c r="BC159" s="387"/>
      <c r="BD159" s="387"/>
      <c r="BE159" s="387"/>
      <c r="BF159" s="387"/>
      <c r="BG159" s="387"/>
      <c r="BH159" s="387"/>
      <c r="BI159" s="387"/>
      <c r="BJ159" s="387"/>
      <c r="BK159" s="388"/>
    </row>
    <row r="160" spans="1:63" s="381" customFormat="1" ht="21" hidden="1" customHeight="1" x14ac:dyDescent="0.2">
      <c r="A160" s="381" t="s">
        <v>19</v>
      </c>
      <c r="B160" s="381">
        <v>101631</v>
      </c>
      <c r="C160" s="382" t="s">
        <v>20</v>
      </c>
      <c r="D160" s="382" t="s">
        <v>27</v>
      </c>
      <c r="E160" s="381" t="s">
        <v>22</v>
      </c>
      <c r="F160" s="381" t="s">
        <v>23</v>
      </c>
      <c r="G160" s="384">
        <v>46026</v>
      </c>
      <c r="H160" s="390" t="s">
        <v>486</v>
      </c>
      <c r="I160" s="393">
        <v>25056751</v>
      </c>
      <c r="J160" s="381" t="s">
        <v>487</v>
      </c>
      <c r="K160" s="381">
        <v>7188231230</v>
      </c>
      <c r="L160" s="381">
        <v>21995362344</v>
      </c>
      <c r="M160" s="381" t="s">
        <v>182</v>
      </c>
      <c r="O160" s="382"/>
      <c r="Q160" s="386"/>
      <c r="R160" s="399"/>
      <c r="S160" s="387"/>
      <c r="T160" s="387"/>
      <c r="U160" s="387"/>
      <c r="V160" s="387"/>
      <c r="W160" s="387"/>
      <c r="X160" s="387"/>
      <c r="Y160" s="387"/>
      <c r="Z160" s="387"/>
      <c r="AA160" s="387"/>
      <c r="AB160" s="387"/>
      <c r="AC160" s="387"/>
      <c r="AD160" s="387"/>
      <c r="AE160" s="387"/>
      <c r="AF160" s="387"/>
      <c r="AG160" s="387"/>
      <c r="AH160" s="387"/>
      <c r="AI160" s="387"/>
      <c r="AJ160" s="387"/>
      <c r="AK160" s="387"/>
      <c r="AL160" s="387"/>
      <c r="AM160" s="387"/>
      <c r="AN160" s="387"/>
      <c r="AO160" s="387"/>
      <c r="AP160" s="387"/>
      <c r="AQ160" s="387"/>
      <c r="AR160" s="387"/>
      <c r="AS160" s="387"/>
      <c r="AT160" s="387"/>
      <c r="AU160" s="387"/>
      <c r="AV160" s="387"/>
      <c r="AW160" s="387"/>
      <c r="AX160" s="387"/>
      <c r="AY160" s="387"/>
      <c r="AZ160" s="387"/>
      <c r="BA160" s="387"/>
      <c r="BB160" s="387"/>
      <c r="BC160" s="387"/>
      <c r="BD160" s="387"/>
      <c r="BE160" s="387"/>
      <c r="BF160" s="387"/>
      <c r="BG160" s="387"/>
      <c r="BH160" s="387"/>
      <c r="BI160" s="387"/>
      <c r="BJ160" s="387"/>
      <c r="BK160" s="388"/>
    </row>
    <row r="161" spans="1:63" s="381" customFormat="1" ht="3.75" hidden="1" customHeight="1" x14ac:dyDescent="0.2">
      <c r="A161" s="381" t="s">
        <v>19</v>
      </c>
      <c r="B161" s="381">
        <v>101627</v>
      </c>
      <c r="C161" s="382" t="s">
        <v>20</v>
      </c>
      <c r="D161" s="382" t="s">
        <v>44</v>
      </c>
      <c r="E161" s="381" t="s">
        <v>22</v>
      </c>
      <c r="F161" s="381" t="s">
        <v>23</v>
      </c>
      <c r="G161" s="384">
        <v>45999</v>
      </c>
      <c r="H161" s="390" t="s">
        <v>488</v>
      </c>
      <c r="I161" s="393">
        <v>25054413</v>
      </c>
      <c r="J161" s="381" t="s">
        <v>489</v>
      </c>
      <c r="K161" s="381">
        <v>71983885590</v>
      </c>
      <c r="L161" s="381">
        <v>71983885590</v>
      </c>
      <c r="O161" s="382"/>
      <c r="Q161" s="386"/>
      <c r="R161" s="399"/>
      <c r="S161" s="387"/>
      <c r="T161" s="387"/>
      <c r="U161" s="387"/>
      <c r="V161" s="387"/>
      <c r="W161" s="387"/>
      <c r="X161" s="387"/>
      <c r="Y161" s="387"/>
      <c r="Z161" s="387"/>
      <c r="AA161" s="387"/>
      <c r="AB161" s="387"/>
      <c r="AC161" s="387"/>
      <c r="AD161" s="387"/>
      <c r="AE161" s="387"/>
      <c r="AF161" s="387"/>
      <c r="AG161" s="387"/>
      <c r="AH161" s="387"/>
      <c r="AI161" s="387"/>
      <c r="AJ161" s="387"/>
      <c r="AK161" s="387"/>
      <c r="AL161" s="387"/>
      <c r="AM161" s="387"/>
      <c r="AN161" s="387"/>
      <c r="AO161" s="387"/>
      <c r="AP161" s="387"/>
      <c r="AQ161" s="387"/>
      <c r="AR161" s="387"/>
      <c r="AS161" s="387"/>
      <c r="AT161" s="387"/>
      <c r="AU161" s="387"/>
      <c r="AV161" s="387"/>
      <c r="AW161" s="387"/>
      <c r="AX161" s="387"/>
      <c r="AY161" s="387"/>
      <c r="AZ161" s="387"/>
      <c r="BA161" s="387"/>
      <c r="BB161" s="387"/>
      <c r="BC161" s="387"/>
      <c r="BD161" s="387"/>
      <c r="BE161" s="387"/>
      <c r="BF161" s="387"/>
      <c r="BG161" s="387"/>
      <c r="BH161" s="387"/>
      <c r="BI161" s="387"/>
      <c r="BJ161" s="387"/>
      <c r="BK161" s="388"/>
    </row>
    <row r="162" spans="1:63" s="383" customFormat="1" ht="58.5" hidden="1" customHeight="1" x14ac:dyDescent="0.25">
      <c r="A162" s="383" t="s">
        <v>19</v>
      </c>
      <c r="B162" s="383">
        <v>101625</v>
      </c>
      <c r="C162" s="389" t="s">
        <v>20</v>
      </c>
      <c r="D162" s="389" t="s">
        <v>187</v>
      </c>
      <c r="E162" s="383" t="s">
        <v>22</v>
      </c>
      <c r="F162" s="383" t="s">
        <v>23</v>
      </c>
      <c r="G162" s="395">
        <v>46023</v>
      </c>
      <c r="H162" s="404" t="s">
        <v>490</v>
      </c>
      <c r="I162" s="408">
        <v>25056658</v>
      </c>
      <c r="J162" s="451" t="s">
        <v>491</v>
      </c>
      <c r="K162" s="383">
        <v>71993178502</v>
      </c>
      <c r="L162" s="383">
        <v>71993178502</v>
      </c>
      <c r="M162" s="425" t="s">
        <v>70</v>
      </c>
      <c r="N162" s="425" t="s">
        <v>52</v>
      </c>
      <c r="O162" s="426" t="s">
        <v>480</v>
      </c>
      <c r="P162" s="425"/>
      <c r="Q162" s="430"/>
      <c r="R162" s="452" t="s">
        <v>492</v>
      </c>
      <c r="S162" s="453"/>
      <c r="T162" s="453"/>
      <c r="U162" s="453"/>
      <c r="V162" s="453"/>
      <c r="W162" s="453"/>
      <c r="X162" s="453"/>
      <c r="Y162" s="453"/>
      <c r="Z162" s="453"/>
      <c r="AA162" s="453"/>
      <c r="AB162" s="453"/>
      <c r="AC162" s="453"/>
      <c r="AD162" s="453"/>
      <c r="AE162" s="453"/>
      <c r="AF162" s="453"/>
      <c r="AG162" s="453"/>
      <c r="AH162" s="453"/>
      <c r="AI162" s="453"/>
      <c r="AJ162" s="453"/>
      <c r="AK162" s="453"/>
      <c r="AL162" s="453"/>
      <c r="AM162" s="453"/>
      <c r="AN162" s="453"/>
      <c r="AO162" s="453"/>
      <c r="AP162" s="453"/>
      <c r="AQ162" s="453"/>
      <c r="AR162" s="453"/>
      <c r="AS162" s="453"/>
      <c r="AT162" s="453"/>
      <c r="AU162" s="453"/>
      <c r="AV162" s="453"/>
      <c r="AW162" s="453"/>
      <c r="AX162" s="453"/>
      <c r="AY162" s="453"/>
      <c r="AZ162" s="453"/>
      <c r="BA162" s="453"/>
      <c r="BB162" s="453"/>
      <c r="BC162" s="453"/>
      <c r="BD162" s="453"/>
      <c r="BE162" s="453"/>
      <c r="BF162" s="453"/>
      <c r="BG162" s="453"/>
      <c r="BH162" s="453"/>
      <c r="BI162" s="453"/>
      <c r="BJ162" s="453"/>
      <c r="BK162" s="454"/>
    </row>
    <row r="163" spans="1:63" s="381" customFormat="1" ht="21" customHeight="1" x14ac:dyDescent="0.2">
      <c r="A163" s="381" t="s">
        <v>19</v>
      </c>
      <c r="B163" s="381">
        <v>101629</v>
      </c>
      <c r="C163" s="382" t="s">
        <v>20</v>
      </c>
      <c r="D163" s="382" t="s">
        <v>62</v>
      </c>
      <c r="E163" s="381" t="s">
        <v>22</v>
      </c>
      <c r="F163" s="381" t="s">
        <v>23</v>
      </c>
      <c r="G163" s="384">
        <v>46010</v>
      </c>
      <c r="H163" s="390" t="s">
        <v>493</v>
      </c>
      <c r="I163" s="393">
        <v>25056021</v>
      </c>
      <c r="J163" s="391" t="s">
        <v>494</v>
      </c>
      <c r="K163" s="381">
        <v>71987748807</v>
      </c>
      <c r="L163" s="381">
        <v>71987748807</v>
      </c>
      <c r="M163" s="381" t="s">
        <v>73</v>
      </c>
      <c r="O163" s="382" t="s">
        <v>236</v>
      </c>
      <c r="P163" s="381" t="s">
        <v>97</v>
      </c>
      <c r="Q163" s="386"/>
      <c r="R163" s="399" t="s">
        <v>495</v>
      </c>
      <c r="S163" s="387" t="s">
        <v>97</v>
      </c>
      <c r="T163" s="387"/>
      <c r="U163" s="387"/>
      <c r="V163" s="387"/>
      <c r="W163" s="387"/>
      <c r="X163" s="387"/>
      <c r="Y163" s="387"/>
      <c r="Z163" s="387"/>
      <c r="AA163" s="387"/>
      <c r="AB163" s="387"/>
      <c r="AC163" s="387"/>
      <c r="AD163" s="387"/>
      <c r="AE163" s="387"/>
      <c r="AF163" s="387"/>
      <c r="AG163" s="387"/>
      <c r="AH163" s="387"/>
      <c r="AI163" s="387"/>
      <c r="AJ163" s="387"/>
      <c r="AK163" s="387"/>
      <c r="AL163" s="387"/>
      <c r="AM163" s="387"/>
      <c r="AN163" s="387"/>
      <c r="AO163" s="387"/>
      <c r="AP163" s="387"/>
      <c r="AQ163" s="387"/>
      <c r="AR163" s="387"/>
      <c r="AS163" s="387"/>
      <c r="AT163" s="387"/>
      <c r="AU163" s="387"/>
      <c r="AV163" s="387"/>
      <c r="AW163" s="387"/>
      <c r="AX163" s="387"/>
      <c r="AY163" s="387"/>
      <c r="AZ163" s="387"/>
      <c r="BA163" s="387"/>
      <c r="BB163" s="387"/>
      <c r="BC163" s="387"/>
      <c r="BD163" s="387"/>
      <c r="BE163" s="387"/>
      <c r="BF163" s="387"/>
      <c r="BG163" s="387"/>
      <c r="BH163" s="387"/>
      <c r="BI163" s="387"/>
      <c r="BJ163" s="387"/>
      <c r="BK163" s="388"/>
    </row>
    <row r="164" spans="1:63" s="381" customFormat="1" ht="21" hidden="1" customHeight="1" x14ac:dyDescent="0.2">
      <c r="A164" s="381" t="s">
        <v>19</v>
      </c>
      <c r="B164" s="381">
        <v>101626</v>
      </c>
      <c r="C164" s="382" t="s">
        <v>20</v>
      </c>
      <c r="D164" s="382" t="s">
        <v>21</v>
      </c>
      <c r="E164" s="381" t="s">
        <v>22</v>
      </c>
      <c r="F164" s="381" t="s">
        <v>23</v>
      </c>
      <c r="G164" s="384">
        <v>46027</v>
      </c>
      <c r="H164" s="390" t="s">
        <v>496</v>
      </c>
      <c r="I164" s="393">
        <v>25056876</v>
      </c>
      <c r="J164" s="381" t="s">
        <v>497</v>
      </c>
      <c r="K164" s="381">
        <v>71996218264</v>
      </c>
      <c r="L164" s="381">
        <v>71996218264</v>
      </c>
      <c r="M164" s="381" t="s">
        <v>498</v>
      </c>
      <c r="O164" s="382" t="s">
        <v>499</v>
      </c>
      <c r="Q164" s="386"/>
      <c r="R164" s="399" t="s">
        <v>500</v>
      </c>
      <c r="S164" s="387"/>
      <c r="T164" s="387"/>
      <c r="U164" s="387"/>
      <c r="V164" s="387"/>
      <c r="W164" s="387"/>
      <c r="X164" s="387"/>
      <c r="Y164" s="387"/>
      <c r="Z164" s="387"/>
      <c r="AA164" s="387"/>
      <c r="AB164" s="387"/>
      <c r="AC164" s="387"/>
      <c r="AD164" s="387"/>
      <c r="AE164" s="387"/>
      <c r="AF164" s="387"/>
      <c r="AG164" s="387"/>
      <c r="AH164" s="387"/>
      <c r="AI164" s="387"/>
      <c r="AJ164" s="387"/>
      <c r="AK164" s="387"/>
      <c r="AL164" s="387"/>
      <c r="AM164" s="387"/>
      <c r="AN164" s="387"/>
      <c r="AO164" s="387"/>
      <c r="AP164" s="387"/>
      <c r="AQ164" s="387"/>
      <c r="AR164" s="387"/>
      <c r="AS164" s="387"/>
      <c r="AT164" s="387"/>
      <c r="AU164" s="387"/>
      <c r="AV164" s="387"/>
      <c r="AW164" s="387"/>
      <c r="AX164" s="387"/>
      <c r="AY164" s="387"/>
      <c r="AZ164" s="387"/>
      <c r="BA164" s="387"/>
      <c r="BB164" s="387"/>
      <c r="BC164" s="387"/>
      <c r="BD164" s="387"/>
      <c r="BE164" s="387"/>
      <c r="BF164" s="387"/>
      <c r="BG164" s="387"/>
      <c r="BH164" s="387"/>
      <c r="BI164" s="387"/>
      <c r="BJ164" s="387"/>
      <c r="BK164" s="388"/>
    </row>
    <row r="165" spans="1:63" s="381" customFormat="1" ht="21" hidden="1" customHeight="1" x14ac:dyDescent="0.2">
      <c r="A165" s="381" t="s">
        <v>19</v>
      </c>
      <c r="B165" s="381">
        <v>101628</v>
      </c>
      <c r="C165" s="382" t="s">
        <v>20</v>
      </c>
      <c r="D165" s="382" t="s">
        <v>252</v>
      </c>
      <c r="E165" s="381" t="s">
        <v>22</v>
      </c>
      <c r="F165" s="381" t="s">
        <v>23</v>
      </c>
      <c r="G165" s="384">
        <v>46010</v>
      </c>
      <c r="H165" s="390" t="s">
        <v>501</v>
      </c>
      <c r="I165" s="393">
        <v>15495199</v>
      </c>
      <c r="J165" s="381" t="s">
        <v>502</v>
      </c>
      <c r="K165" s="381">
        <v>71981841186</v>
      </c>
      <c r="L165" s="381">
        <v>71981841186</v>
      </c>
      <c r="M165" s="381" t="s">
        <v>355</v>
      </c>
      <c r="O165" s="382"/>
      <c r="Q165" s="386"/>
      <c r="R165" s="399"/>
      <c r="S165" s="387"/>
      <c r="T165" s="387"/>
      <c r="U165" s="387"/>
      <c r="V165" s="387"/>
      <c r="W165" s="387"/>
      <c r="X165" s="387"/>
      <c r="Y165" s="387"/>
      <c r="Z165" s="387"/>
      <c r="AA165" s="387"/>
      <c r="AB165" s="387"/>
      <c r="AC165" s="387"/>
      <c r="AD165" s="387"/>
      <c r="AE165" s="387"/>
      <c r="AF165" s="387"/>
      <c r="AG165" s="387"/>
      <c r="AH165" s="387"/>
      <c r="AI165" s="387"/>
      <c r="AJ165" s="387"/>
      <c r="AK165" s="387"/>
      <c r="AL165" s="387"/>
      <c r="AM165" s="387"/>
      <c r="AN165" s="387"/>
      <c r="AO165" s="387"/>
      <c r="AP165" s="387"/>
      <c r="AQ165" s="387"/>
      <c r="AR165" s="387"/>
      <c r="AS165" s="387"/>
      <c r="AT165" s="387"/>
      <c r="AU165" s="387"/>
      <c r="AV165" s="387"/>
      <c r="AW165" s="387"/>
      <c r="AX165" s="387"/>
      <c r="AY165" s="387"/>
      <c r="AZ165" s="387"/>
      <c r="BA165" s="387"/>
      <c r="BB165" s="387"/>
      <c r="BC165" s="387"/>
      <c r="BD165" s="387"/>
      <c r="BE165" s="387"/>
      <c r="BF165" s="387"/>
      <c r="BG165" s="387"/>
      <c r="BH165" s="387"/>
      <c r="BI165" s="387"/>
      <c r="BJ165" s="387"/>
      <c r="BK165" s="388"/>
    </row>
    <row r="166" spans="1:63" s="381" customFormat="1" ht="21" hidden="1" customHeight="1" x14ac:dyDescent="0.2">
      <c r="A166" s="381" t="s">
        <v>19</v>
      </c>
      <c r="B166" s="381">
        <v>101631</v>
      </c>
      <c r="C166" s="382" t="s">
        <v>20</v>
      </c>
      <c r="D166" s="382" t="s">
        <v>27</v>
      </c>
      <c r="E166" s="381" t="s">
        <v>22</v>
      </c>
      <c r="F166" s="381" t="s">
        <v>23</v>
      </c>
      <c r="G166" s="384">
        <v>46027</v>
      </c>
      <c r="H166" s="390" t="s">
        <v>503</v>
      </c>
      <c r="I166" s="393">
        <v>25056891</v>
      </c>
      <c r="J166" s="381" t="s">
        <v>504</v>
      </c>
      <c r="K166" s="381">
        <v>71982378032</v>
      </c>
      <c r="L166" s="381">
        <v>71982378032</v>
      </c>
      <c r="M166" s="381" t="s">
        <v>310</v>
      </c>
      <c r="O166" s="382"/>
      <c r="Q166" s="386"/>
      <c r="R166" s="399"/>
      <c r="S166" s="387"/>
      <c r="T166" s="387"/>
      <c r="U166" s="387"/>
      <c r="V166" s="387"/>
      <c r="W166" s="387"/>
      <c r="X166" s="387"/>
      <c r="Y166" s="387"/>
      <c r="Z166" s="387"/>
      <c r="AA166" s="387"/>
      <c r="AB166" s="387"/>
      <c r="AC166" s="387"/>
      <c r="AD166" s="387"/>
      <c r="AE166" s="387"/>
      <c r="AF166" s="387"/>
      <c r="AG166" s="387"/>
      <c r="AH166" s="387"/>
      <c r="AI166" s="387"/>
      <c r="AJ166" s="387"/>
      <c r="AK166" s="387"/>
      <c r="AL166" s="387"/>
      <c r="AM166" s="387"/>
      <c r="AN166" s="387"/>
      <c r="AO166" s="387"/>
      <c r="AP166" s="387"/>
      <c r="AQ166" s="387"/>
      <c r="AR166" s="387"/>
      <c r="AS166" s="387"/>
      <c r="AT166" s="387"/>
      <c r="AU166" s="387"/>
      <c r="AV166" s="387"/>
      <c r="AW166" s="387"/>
      <c r="AX166" s="387"/>
      <c r="AY166" s="387"/>
      <c r="AZ166" s="387"/>
      <c r="BA166" s="387"/>
      <c r="BB166" s="387"/>
      <c r="BC166" s="387"/>
      <c r="BD166" s="387"/>
      <c r="BE166" s="387"/>
      <c r="BF166" s="387"/>
      <c r="BG166" s="387"/>
      <c r="BH166" s="387"/>
      <c r="BI166" s="387"/>
      <c r="BJ166" s="387"/>
      <c r="BK166" s="388"/>
    </row>
    <row r="167" spans="1:63" s="402" customFormat="1" ht="60" hidden="1" x14ac:dyDescent="0.2">
      <c r="A167" s="415" t="s">
        <v>19</v>
      </c>
      <c r="B167" s="415">
        <v>101628</v>
      </c>
      <c r="C167" s="416" t="s">
        <v>20</v>
      </c>
      <c r="D167" s="416" t="s">
        <v>252</v>
      </c>
      <c r="E167" s="415" t="s">
        <v>22</v>
      </c>
      <c r="F167" s="415" t="s">
        <v>23</v>
      </c>
      <c r="G167" s="417">
        <v>46010</v>
      </c>
      <c r="H167" s="385" t="s">
        <v>505</v>
      </c>
      <c r="I167" s="418">
        <v>25056059</v>
      </c>
      <c r="J167" s="436" t="s">
        <v>506</v>
      </c>
      <c r="K167" s="415">
        <v>71991226114</v>
      </c>
      <c r="L167" s="415">
        <v>71991226114</v>
      </c>
      <c r="M167" s="415" t="s">
        <v>70</v>
      </c>
      <c r="N167" s="402" t="s">
        <v>52</v>
      </c>
      <c r="O167" s="420" t="s">
        <v>499</v>
      </c>
      <c r="Q167" s="405"/>
      <c r="R167" s="423" t="s">
        <v>507</v>
      </c>
      <c r="S167" s="400"/>
      <c r="T167" s="400"/>
      <c r="U167" s="400"/>
      <c r="V167" s="400"/>
      <c r="W167" s="400"/>
      <c r="X167" s="400"/>
      <c r="Y167" s="400"/>
      <c r="Z167" s="400"/>
      <c r="AA167" s="400"/>
      <c r="AB167" s="400"/>
      <c r="AC167" s="400"/>
      <c r="AD167" s="400"/>
      <c r="AE167" s="400"/>
      <c r="AF167" s="400"/>
      <c r="AG167" s="400"/>
      <c r="AH167" s="400"/>
      <c r="AI167" s="400"/>
      <c r="AJ167" s="400"/>
      <c r="AK167" s="400"/>
      <c r="AL167" s="400"/>
      <c r="AM167" s="400"/>
      <c r="AN167" s="400"/>
      <c r="AO167" s="400"/>
      <c r="AP167" s="400"/>
      <c r="AQ167" s="400"/>
      <c r="AR167" s="400"/>
      <c r="AS167" s="400"/>
      <c r="AT167" s="400"/>
      <c r="AU167" s="400"/>
      <c r="AV167" s="400"/>
      <c r="AW167" s="400"/>
      <c r="AX167" s="400"/>
      <c r="AY167" s="400"/>
      <c r="AZ167" s="400"/>
      <c r="BA167" s="400"/>
      <c r="BB167" s="400"/>
      <c r="BC167" s="400"/>
      <c r="BD167" s="400"/>
      <c r="BE167" s="400"/>
      <c r="BF167" s="400"/>
      <c r="BG167" s="400"/>
      <c r="BH167" s="400"/>
      <c r="BI167" s="400"/>
      <c r="BJ167" s="400"/>
      <c r="BK167" s="401"/>
    </row>
    <row r="168" spans="1:63" s="381" customFormat="1" ht="21" hidden="1" customHeight="1" x14ac:dyDescent="0.2">
      <c r="A168" s="455" t="s">
        <v>19</v>
      </c>
      <c r="B168" s="455">
        <v>101623</v>
      </c>
      <c r="C168" s="456" t="s">
        <v>20</v>
      </c>
      <c r="D168" s="456" t="s">
        <v>48</v>
      </c>
      <c r="E168" s="455" t="s">
        <v>22</v>
      </c>
      <c r="F168" s="455" t="s">
        <v>23</v>
      </c>
      <c r="G168" s="457">
        <v>45980</v>
      </c>
      <c r="H168" s="458" t="s">
        <v>508</v>
      </c>
      <c r="I168" s="459">
        <v>25051566</v>
      </c>
      <c r="J168" s="460" t="s">
        <v>509</v>
      </c>
      <c r="K168" s="455">
        <v>71992299820</v>
      </c>
      <c r="L168" s="455">
        <v>71992299820</v>
      </c>
      <c r="M168" s="381" t="s">
        <v>498</v>
      </c>
      <c r="N168" s="381" t="s">
        <v>157</v>
      </c>
      <c r="O168" s="382" t="s">
        <v>510</v>
      </c>
      <c r="Q168" s="386"/>
      <c r="R168" s="422" t="s">
        <v>511</v>
      </c>
      <c r="S168" s="387"/>
      <c r="T168" s="387"/>
      <c r="U168" s="387"/>
      <c r="V168" s="387"/>
      <c r="W168" s="387"/>
      <c r="X168" s="387"/>
      <c r="Y168" s="387"/>
      <c r="Z168" s="387"/>
      <c r="AA168" s="387"/>
      <c r="AB168" s="387"/>
      <c r="AC168" s="387"/>
      <c r="AD168" s="387"/>
      <c r="AE168" s="387"/>
      <c r="AF168" s="387"/>
      <c r="AG168" s="387"/>
      <c r="AH168" s="387"/>
      <c r="AI168" s="387"/>
      <c r="AJ168" s="387"/>
      <c r="AK168" s="387"/>
      <c r="AL168" s="387"/>
      <c r="AM168" s="387"/>
      <c r="AN168" s="387"/>
      <c r="AO168" s="387"/>
      <c r="AP168" s="387"/>
      <c r="AQ168" s="387"/>
      <c r="AR168" s="387"/>
      <c r="AS168" s="387"/>
      <c r="AT168" s="387"/>
      <c r="AU168" s="387"/>
      <c r="AV168" s="387"/>
      <c r="AW168" s="387"/>
      <c r="AX168" s="387"/>
      <c r="AY168" s="387"/>
      <c r="AZ168" s="387"/>
      <c r="BA168" s="387"/>
      <c r="BB168" s="387"/>
      <c r="BC168" s="387"/>
      <c r="BD168" s="387"/>
      <c r="BE168" s="387"/>
      <c r="BF168" s="387"/>
      <c r="BG168" s="387"/>
      <c r="BH168" s="387"/>
      <c r="BI168" s="387"/>
      <c r="BJ168" s="387"/>
      <c r="BK168" s="388"/>
    </row>
    <row r="169" spans="1:63" s="381" customFormat="1" ht="21" hidden="1" customHeight="1" x14ac:dyDescent="0.2">
      <c r="A169" s="383" t="s">
        <v>19</v>
      </c>
      <c r="B169" s="383">
        <v>101631</v>
      </c>
      <c r="C169" s="382" t="s">
        <v>20</v>
      </c>
      <c r="D169" s="389" t="s">
        <v>27</v>
      </c>
      <c r="E169" s="381" t="s">
        <v>22</v>
      </c>
      <c r="F169" s="381" t="s">
        <v>23</v>
      </c>
      <c r="G169" s="384">
        <v>46028</v>
      </c>
      <c r="H169" s="390" t="s">
        <v>512</v>
      </c>
      <c r="I169" s="393">
        <v>25034158</v>
      </c>
      <c r="J169" s="437" t="s">
        <v>513</v>
      </c>
      <c r="K169" s="381" t="s">
        <v>514</v>
      </c>
      <c r="L169" s="381" t="s">
        <v>514</v>
      </c>
      <c r="M169" s="381" t="s">
        <v>70</v>
      </c>
      <c r="O169" s="382" t="s">
        <v>515</v>
      </c>
      <c r="Q169" s="386"/>
      <c r="R169" s="399" t="s">
        <v>516</v>
      </c>
      <c r="S169" s="387"/>
      <c r="T169" s="387"/>
      <c r="U169" s="387"/>
      <c r="V169" s="387"/>
      <c r="W169" s="387"/>
      <c r="X169" s="387"/>
      <c r="Y169" s="387"/>
      <c r="Z169" s="387"/>
      <c r="AA169" s="387"/>
      <c r="AB169" s="387"/>
      <c r="AC169" s="387"/>
      <c r="AD169" s="387"/>
      <c r="AE169" s="387"/>
      <c r="AF169" s="387"/>
      <c r="AG169" s="387"/>
      <c r="AH169" s="387"/>
      <c r="AI169" s="387"/>
      <c r="AJ169" s="387"/>
      <c r="AK169" s="387"/>
      <c r="AL169" s="387"/>
      <c r="AM169" s="387"/>
      <c r="AN169" s="387"/>
      <c r="AO169" s="387"/>
      <c r="AP169" s="387"/>
      <c r="AQ169" s="387"/>
      <c r="AR169" s="387"/>
      <c r="AS169" s="387"/>
      <c r="AT169" s="387"/>
      <c r="AU169" s="387"/>
      <c r="AV169" s="387"/>
      <c r="AW169" s="387"/>
      <c r="AX169" s="387"/>
      <c r="AY169" s="387"/>
      <c r="AZ169" s="387"/>
      <c r="BA169" s="387"/>
      <c r="BB169" s="387"/>
      <c r="BC169" s="387"/>
      <c r="BD169" s="387"/>
      <c r="BE169" s="387"/>
      <c r="BF169" s="387"/>
      <c r="BG169" s="387"/>
      <c r="BH169" s="387"/>
      <c r="BI169" s="387"/>
      <c r="BJ169" s="387"/>
      <c r="BK169" s="388"/>
    </row>
    <row r="170" spans="1:63" s="402" customFormat="1" ht="21" hidden="1" customHeight="1" x14ac:dyDescent="0.2">
      <c r="A170" s="415" t="s">
        <v>19</v>
      </c>
      <c r="B170" s="415">
        <v>101627</v>
      </c>
      <c r="C170" s="416" t="s">
        <v>20</v>
      </c>
      <c r="D170" s="416" t="s">
        <v>44</v>
      </c>
      <c r="E170" s="415" t="s">
        <v>22</v>
      </c>
      <c r="F170" s="415" t="s">
        <v>23</v>
      </c>
      <c r="G170" s="417">
        <v>46028</v>
      </c>
      <c r="H170" s="385" t="s">
        <v>517</v>
      </c>
      <c r="I170" s="418">
        <v>25057008</v>
      </c>
      <c r="J170" s="415" t="s">
        <v>518</v>
      </c>
      <c r="K170" s="415">
        <v>71981257544</v>
      </c>
      <c r="L170" s="415">
        <v>71981257544</v>
      </c>
      <c r="M170" s="415" t="s">
        <v>70</v>
      </c>
      <c r="O170" s="420"/>
      <c r="Q170" s="405"/>
      <c r="R170" s="423"/>
      <c r="S170" s="400"/>
      <c r="T170" s="400"/>
      <c r="U170" s="400"/>
      <c r="V170" s="400"/>
      <c r="W170" s="400"/>
      <c r="X170" s="400"/>
      <c r="Y170" s="400"/>
      <c r="Z170" s="400"/>
      <c r="AA170" s="400"/>
      <c r="AB170" s="400"/>
      <c r="AC170" s="400"/>
      <c r="AD170" s="400"/>
      <c r="AE170" s="400"/>
      <c r="AF170" s="400"/>
      <c r="AG170" s="400"/>
      <c r="AH170" s="400"/>
      <c r="AI170" s="400"/>
      <c r="AJ170" s="400"/>
      <c r="AK170" s="400"/>
      <c r="AL170" s="400"/>
      <c r="AM170" s="400"/>
      <c r="AN170" s="400"/>
      <c r="AO170" s="400"/>
      <c r="AP170" s="400"/>
      <c r="AQ170" s="400"/>
      <c r="AR170" s="400"/>
      <c r="AS170" s="400"/>
      <c r="AT170" s="400"/>
      <c r="AU170" s="400"/>
      <c r="AV170" s="400"/>
      <c r="AW170" s="400"/>
      <c r="AX170" s="400"/>
      <c r="AY170" s="400"/>
      <c r="AZ170" s="400"/>
      <c r="BA170" s="400"/>
      <c r="BB170" s="400"/>
      <c r="BC170" s="400"/>
      <c r="BD170" s="400"/>
      <c r="BE170" s="400"/>
      <c r="BF170" s="400"/>
      <c r="BG170" s="400"/>
      <c r="BH170" s="400"/>
      <c r="BI170" s="400"/>
      <c r="BJ170" s="400"/>
      <c r="BK170" s="401"/>
    </row>
    <row r="171" spans="1:63" s="381" customFormat="1" ht="21" hidden="1" customHeight="1" x14ac:dyDescent="0.2">
      <c r="A171" s="381" t="s">
        <v>19</v>
      </c>
      <c r="B171" s="381">
        <v>101627</v>
      </c>
      <c r="C171" s="382" t="s">
        <v>20</v>
      </c>
      <c r="D171" s="382" t="s">
        <v>44</v>
      </c>
      <c r="E171" s="381" t="s">
        <v>22</v>
      </c>
      <c r="F171" s="381" t="s">
        <v>23</v>
      </c>
      <c r="G171" s="384">
        <v>46026</v>
      </c>
      <c r="H171" s="390" t="s">
        <v>519</v>
      </c>
      <c r="I171" s="393">
        <v>25056755</v>
      </c>
      <c r="J171" s="391" t="s">
        <v>520</v>
      </c>
      <c r="K171" s="381">
        <v>71993502348</v>
      </c>
      <c r="L171" s="381">
        <v>71993502348</v>
      </c>
      <c r="M171" s="381" t="s">
        <v>70</v>
      </c>
      <c r="O171" s="382" t="s">
        <v>313</v>
      </c>
      <c r="Q171" s="386"/>
      <c r="R171" s="399" t="s">
        <v>521</v>
      </c>
      <c r="S171" s="387"/>
      <c r="T171" s="387"/>
      <c r="U171" s="387"/>
      <c r="V171" s="387"/>
      <c r="W171" s="387"/>
      <c r="X171" s="387"/>
      <c r="Y171" s="387"/>
      <c r="Z171" s="387"/>
      <c r="AA171" s="387"/>
      <c r="AB171" s="387"/>
      <c r="AC171" s="387"/>
      <c r="AD171" s="387"/>
      <c r="AE171" s="387"/>
      <c r="AF171" s="387"/>
      <c r="AG171" s="387"/>
      <c r="AH171" s="387"/>
      <c r="AI171" s="387"/>
      <c r="AJ171" s="387"/>
      <c r="AK171" s="387"/>
      <c r="AL171" s="387"/>
      <c r="AM171" s="387"/>
      <c r="AN171" s="387"/>
      <c r="AO171" s="387"/>
      <c r="AP171" s="387"/>
      <c r="AQ171" s="387"/>
      <c r="AR171" s="387"/>
      <c r="AS171" s="387"/>
      <c r="AT171" s="387"/>
      <c r="AU171" s="387"/>
      <c r="AV171" s="387"/>
      <c r="AW171" s="387"/>
      <c r="AX171" s="387"/>
      <c r="AY171" s="387"/>
      <c r="AZ171" s="387"/>
      <c r="BA171" s="387"/>
      <c r="BB171" s="387"/>
      <c r="BC171" s="387"/>
      <c r="BD171" s="387"/>
      <c r="BE171" s="387"/>
      <c r="BF171" s="387"/>
      <c r="BG171" s="387"/>
      <c r="BH171" s="387"/>
      <c r="BI171" s="387"/>
      <c r="BJ171" s="387"/>
      <c r="BK171" s="388"/>
    </row>
    <row r="172" spans="1:63" s="402" customFormat="1" ht="21" hidden="1" customHeight="1" x14ac:dyDescent="0.2">
      <c r="A172" s="381" t="s">
        <v>19</v>
      </c>
      <c r="B172" s="381">
        <v>101626</v>
      </c>
      <c r="C172" s="416" t="s">
        <v>20</v>
      </c>
      <c r="D172" s="416" t="s">
        <v>21</v>
      </c>
      <c r="E172" s="415" t="s">
        <v>22</v>
      </c>
      <c r="F172" s="415" t="s">
        <v>23</v>
      </c>
      <c r="G172" s="417">
        <v>46020</v>
      </c>
      <c r="H172" s="385" t="s">
        <v>522</v>
      </c>
      <c r="I172" s="418">
        <v>25056515</v>
      </c>
      <c r="J172" s="418" t="s">
        <v>523</v>
      </c>
      <c r="K172" s="415">
        <v>71985163285</v>
      </c>
      <c r="L172" s="415">
        <v>71985163285</v>
      </c>
      <c r="M172" s="415" t="s">
        <v>70</v>
      </c>
      <c r="O172" s="420"/>
      <c r="Q172" s="405"/>
      <c r="R172" s="423"/>
      <c r="S172" s="400"/>
      <c r="T172" s="400"/>
      <c r="U172" s="400"/>
      <c r="V172" s="400"/>
      <c r="W172" s="400"/>
      <c r="X172" s="400"/>
      <c r="Y172" s="400"/>
      <c r="Z172" s="400"/>
      <c r="AA172" s="400"/>
      <c r="AB172" s="400"/>
      <c r="AC172" s="400"/>
      <c r="AD172" s="400"/>
      <c r="AE172" s="400"/>
      <c r="AF172" s="400"/>
      <c r="AG172" s="400"/>
      <c r="AH172" s="400"/>
      <c r="AI172" s="400"/>
      <c r="AJ172" s="400"/>
      <c r="AK172" s="400"/>
      <c r="AL172" s="400"/>
      <c r="AM172" s="400"/>
      <c r="AN172" s="400"/>
      <c r="AO172" s="400"/>
      <c r="AP172" s="400"/>
      <c r="AQ172" s="400"/>
      <c r="AR172" s="400"/>
      <c r="AS172" s="400"/>
      <c r="AT172" s="400"/>
      <c r="AU172" s="400"/>
      <c r="AV172" s="400"/>
      <c r="AW172" s="400"/>
      <c r="AX172" s="400"/>
      <c r="AY172" s="400"/>
      <c r="AZ172" s="400"/>
      <c r="BA172" s="400"/>
      <c r="BB172" s="400"/>
      <c r="BC172" s="400"/>
      <c r="BD172" s="400"/>
      <c r="BE172" s="400"/>
      <c r="BF172" s="400"/>
      <c r="BG172" s="400"/>
      <c r="BH172" s="400"/>
      <c r="BI172" s="400"/>
      <c r="BJ172" s="400"/>
      <c r="BK172" s="401"/>
    </row>
    <row r="173" spans="1:63" s="381" customFormat="1" ht="21" hidden="1" customHeight="1" x14ac:dyDescent="0.2">
      <c r="A173" s="381" t="s">
        <v>19</v>
      </c>
      <c r="B173" s="381">
        <v>101631</v>
      </c>
      <c r="C173" s="382" t="s">
        <v>20</v>
      </c>
      <c r="D173" s="382" t="s">
        <v>27</v>
      </c>
      <c r="E173" s="381" t="s">
        <v>22</v>
      </c>
      <c r="F173" s="381" t="s">
        <v>23</v>
      </c>
      <c r="G173" s="384">
        <v>46028</v>
      </c>
      <c r="H173" s="390" t="s">
        <v>524</v>
      </c>
      <c r="I173" s="393">
        <v>25057099</v>
      </c>
      <c r="J173" s="381" t="s">
        <v>525</v>
      </c>
      <c r="K173" s="381">
        <v>71996712606</v>
      </c>
      <c r="L173" s="381">
        <v>71996712606</v>
      </c>
      <c r="M173" s="381" t="s">
        <v>70</v>
      </c>
      <c r="O173" s="382"/>
      <c r="Q173" s="386"/>
      <c r="R173" s="399"/>
      <c r="S173" s="387"/>
      <c r="T173" s="387"/>
      <c r="U173" s="387"/>
      <c r="V173" s="387"/>
      <c r="W173" s="387"/>
      <c r="X173" s="387"/>
      <c r="Y173" s="387"/>
      <c r="Z173" s="387"/>
      <c r="AA173" s="387"/>
      <c r="AB173" s="387"/>
      <c r="AC173" s="387"/>
      <c r="AD173" s="387"/>
      <c r="AE173" s="387"/>
      <c r="AF173" s="387"/>
      <c r="AG173" s="387"/>
      <c r="AH173" s="387"/>
      <c r="AI173" s="387"/>
      <c r="AJ173" s="387"/>
      <c r="AK173" s="387"/>
      <c r="AL173" s="387"/>
      <c r="AM173" s="387"/>
      <c r="AN173" s="387"/>
      <c r="AO173" s="387"/>
      <c r="AP173" s="387"/>
      <c r="AQ173" s="387"/>
      <c r="AR173" s="387"/>
      <c r="AS173" s="387"/>
      <c r="AT173" s="387"/>
      <c r="AU173" s="387"/>
      <c r="AV173" s="387"/>
      <c r="AW173" s="387"/>
      <c r="AX173" s="387"/>
      <c r="AY173" s="387"/>
      <c r="AZ173" s="387"/>
      <c r="BA173" s="387"/>
      <c r="BB173" s="387"/>
      <c r="BC173" s="387"/>
      <c r="BD173" s="387"/>
      <c r="BE173" s="387"/>
      <c r="BF173" s="387"/>
      <c r="BG173" s="387"/>
      <c r="BH173" s="387"/>
      <c r="BI173" s="387"/>
      <c r="BJ173" s="387"/>
      <c r="BK173" s="388"/>
    </row>
    <row r="174" spans="1:63" s="402" customFormat="1" ht="21" hidden="1" customHeight="1" x14ac:dyDescent="0.2">
      <c r="A174" s="415" t="s">
        <v>19</v>
      </c>
      <c r="B174" s="415">
        <v>101628</v>
      </c>
      <c r="C174" s="416" t="s">
        <v>20</v>
      </c>
      <c r="D174" s="416" t="s">
        <v>252</v>
      </c>
      <c r="E174" s="415" t="s">
        <v>22</v>
      </c>
      <c r="F174" s="415" t="s">
        <v>23</v>
      </c>
      <c r="G174" s="417">
        <v>46017</v>
      </c>
      <c r="H174" s="385" t="s">
        <v>526</v>
      </c>
      <c r="I174" s="418">
        <v>25056410</v>
      </c>
      <c r="J174" s="415" t="s">
        <v>527</v>
      </c>
      <c r="K174" s="415">
        <v>71986880783</v>
      </c>
      <c r="L174" s="415">
        <v>71986880783</v>
      </c>
      <c r="M174" s="415" t="s">
        <v>70</v>
      </c>
      <c r="O174" s="420"/>
      <c r="Q174" s="405"/>
      <c r="R174" s="423"/>
      <c r="S174" s="400"/>
      <c r="T174" s="400"/>
      <c r="U174" s="400"/>
      <c r="V174" s="400"/>
      <c r="W174" s="400"/>
      <c r="X174" s="400"/>
      <c r="Y174" s="400"/>
      <c r="Z174" s="400"/>
      <c r="AA174" s="400"/>
      <c r="AB174" s="400"/>
      <c r="AC174" s="400"/>
      <c r="AD174" s="400"/>
      <c r="AE174" s="400"/>
      <c r="AF174" s="400"/>
      <c r="AG174" s="400"/>
      <c r="AH174" s="400"/>
      <c r="AI174" s="400"/>
      <c r="AJ174" s="400"/>
      <c r="AK174" s="400"/>
      <c r="AL174" s="400"/>
      <c r="AM174" s="400"/>
      <c r="AN174" s="400"/>
      <c r="AO174" s="400"/>
      <c r="AP174" s="400"/>
      <c r="AQ174" s="400"/>
      <c r="AR174" s="400"/>
      <c r="AS174" s="400"/>
      <c r="AT174" s="400"/>
      <c r="AU174" s="400"/>
      <c r="AV174" s="400"/>
      <c r="AW174" s="400"/>
      <c r="AX174" s="400"/>
      <c r="AY174" s="400"/>
      <c r="AZ174" s="400"/>
      <c r="BA174" s="400"/>
      <c r="BB174" s="400"/>
      <c r="BC174" s="400"/>
      <c r="BD174" s="400"/>
      <c r="BE174" s="400"/>
      <c r="BF174" s="400"/>
      <c r="BG174" s="400"/>
      <c r="BH174" s="400"/>
      <c r="BI174" s="400"/>
      <c r="BJ174" s="400"/>
      <c r="BK174" s="401"/>
    </row>
    <row r="175" spans="1:63" s="381" customFormat="1" ht="21" hidden="1" customHeight="1" x14ac:dyDescent="0.2">
      <c r="A175" s="381" t="s">
        <v>19</v>
      </c>
      <c r="B175" s="381">
        <v>101630</v>
      </c>
      <c r="C175" s="382" t="s">
        <v>20</v>
      </c>
      <c r="D175" s="382" t="s">
        <v>40</v>
      </c>
      <c r="E175" s="381" t="s">
        <v>22</v>
      </c>
      <c r="F175" s="381" t="s">
        <v>23</v>
      </c>
      <c r="G175" s="384">
        <v>46028</v>
      </c>
      <c r="H175" s="390" t="s">
        <v>528</v>
      </c>
      <c r="I175" s="393">
        <v>25051523</v>
      </c>
      <c r="J175" s="381" t="s">
        <v>529</v>
      </c>
      <c r="K175" s="381">
        <v>71986298950</v>
      </c>
      <c r="L175" s="381">
        <v>71986298950</v>
      </c>
      <c r="M175" s="381" t="s">
        <v>310</v>
      </c>
      <c r="O175" s="382"/>
      <c r="Q175" s="386"/>
      <c r="R175" s="399"/>
      <c r="S175" s="387"/>
      <c r="T175" s="387"/>
      <c r="U175" s="387"/>
      <c r="V175" s="387"/>
      <c r="W175" s="387"/>
      <c r="X175" s="387"/>
      <c r="Y175" s="387"/>
      <c r="Z175" s="387"/>
      <c r="AA175" s="387"/>
      <c r="AB175" s="387"/>
      <c r="AC175" s="387"/>
      <c r="AD175" s="387"/>
      <c r="AE175" s="387"/>
      <c r="AF175" s="387"/>
      <c r="AG175" s="387"/>
      <c r="AH175" s="387"/>
      <c r="AI175" s="387"/>
      <c r="AJ175" s="387"/>
      <c r="AK175" s="387"/>
      <c r="AL175" s="387"/>
      <c r="AM175" s="387"/>
      <c r="AN175" s="387"/>
      <c r="AO175" s="387"/>
      <c r="AP175" s="387"/>
      <c r="AQ175" s="387"/>
      <c r="AR175" s="387"/>
      <c r="AS175" s="387"/>
      <c r="AT175" s="387"/>
      <c r="AU175" s="387"/>
      <c r="AV175" s="387"/>
      <c r="AW175" s="387"/>
      <c r="AX175" s="387"/>
      <c r="AY175" s="387"/>
      <c r="AZ175" s="387"/>
      <c r="BA175" s="387"/>
      <c r="BB175" s="387"/>
      <c r="BC175" s="387"/>
      <c r="BD175" s="387"/>
      <c r="BE175" s="387"/>
      <c r="BF175" s="387"/>
      <c r="BG175" s="387"/>
      <c r="BH175" s="387"/>
      <c r="BI175" s="387"/>
      <c r="BJ175" s="387"/>
      <c r="BK175" s="388"/>
    </row>
    <row r="176" spans="1:63" s="381" customFormat="1" ht="21" hidden="1" customHeight="1" x14ac:dyDescent="0.2">
      <c r="A176" s="381" t="s">
        <v>19</v>
      </c>
      <c r="B176" s="381">
        <v>101626</v>
      </c>
      <c r="C176" s="382" t="s">
        <v>20</v>
      </c>
      <c r="D176" s="382" t="s">
        <v>21</v>
      </c>
      <c r="E176" s="381" t="s">
        <v>22</v>
      </c>
      <c r="F176" s="381" t="s">
        <v>23</v>
      </c>
      <c r="G176" s="384">
        <v>46028</v>
      </c>
      <c r="H176" s="390" t="s">
        <v>530</v>
      </c>
      <c r="I176" s="393">
        <v>25057202</v>
      </c>
      <c r="J176" s="381" t="s">
        <v>531</v>
      </c>
      <c r="K176" s="381">
        <v>71999555994</v>
      </c>
      <c r="L176" s="381">
        <v>71999555994</v>
      </c>
      <c r="M176" s="381" t="s">
        <v>448</v>
      </c>
      <c r="O176" s="382" t="s">
        <v>532</v>
      </c>
      <c r="P176" s="381" t="s">
        <v>97</v>
      </c>
      <c r="Q176" s="386"/>
      <c r="R176" s="399" t="s">
        <v>533</v>
      </c>
      <c r="S176" s="387" t="s">
        <v>97</v>
      </c>
      <c r="T176" s="387"/>
      <c r="U176" s="387"/>
      <c r="V176" s="387"/>
      <c r="W176" s="387"/>
      <c r="X176" s="387"/>
      <c r="Y176" s="387"/>
      <c r="Z176" s="387"/>
      <c r="AA176" s="387"/>
      <c r="AB176" s="387"/>
      <c r="AC176" s="387"/>
      <c r="AD176" s="387"/>
      <c r="AE176" s="387"/>
      <c r="AF176" s="387"/>
      <c r="AG176" s="387"/>
      <c r="AH176" s="387"/>
      <c r="AI176" s="387"/>
      <c r="AJ176" s="387"/>
      <c r="AK176" s="387"/>
      <c r="AL176" s="387"/>
      <c r="AM176" s="387"/>
      <c r="AN176" s="387"/>
      <c r="AO176" s="387"/>
      <c r="AP176" s="387"/>
      <c r="AQ176" s="387"/>
      <c r="AR176" s="387"/>
      <c r="AS176" s="387"/>
      <c r="AT176" s="387"/>
      <c r="AU176" s="387"/>
      <c r="AV176" s="387"/>
      <c r="AW176" s="387"/>
      <c r="AX176" s="387"/>
      <c r="AY176" s="387"/>
      <c r="AZ176" s="387"/>
      <c r="BA176" s="387"/>
      <c r="BB176" s="387"/>
      <c r="BC176" s="387"/>
      <c r="BD176" s="387"/>
      <c r="BE176" s="387"/>
      <c r="BF176" s="387"/>
      <c r="BG176" s="387"/>
      <c r="BH176" s="387"/>
      <c r="BI176" s="387"/>
      <c r="BJ176" s="387"/>
      <c r="BK176" s="388"/>
    </row>
    <row r="177" spans="1:63" s="381" customFormat="1" ht="21" hidden="1" customHeight="1" x14ac:dyDescent="0.2">
      <c r="A177" s="381" t="s">
        <v>19</v>
      </c>
      <c r="B177" s="381">
        <v>101630</v>
      </c>
      <c r="C177" s="382" t="s">
        <v>20</v>
      </c>
      <c r="D177" s="382" t="s">
        <v>40</v>
      </c>
      <c r="E177" s="381" t="s">
        <v>22</v>
      </c>
      <c r="F177" s="381" t="s">
        <v>23</v>
      </c>
      <c r="G177" s="384">
        <v>46029</v>
      </c>
      <c r="H177" s="390" t="s">
        <v>534</v>
      </c>
      <c r="I177" s="393">
        <v>25057266</v>
      </c>
      <c r="J177" s="381" t="s">
        <v>535</v>
      </c>
      <c r="K177" s="381">
        <v>71983937373</v>
      </c>
      <c r="L177" s="381">
        <v>71983937373</v>
      </c>
      <c r="O177" s="382"/>
      <c r="Q177" s="386"/>
      <c r="R177" s="399"/>
      <c r="S177" s="387"/>
      <c r="T177" s="387"/>
      <c r="U177" s="387"/>
      <c r="V177" s="387"/>
      <c r="W177" s="387"/>
      <c r="X177" s="387"/>
      <c r="Y177" s="387"/>
      <c r="Z177" s="387"/>
      <c r="AA177" s="387"/>
      <c r="AB177" s="387"/>
      <c r="AC177" s="387"/>
      <c r="AD177" s="387"/>
      <c r="AE177" s="387"/>
      <c r="AF177" s="387"/>
      <c r="AG177" s="387"/>
      <c r="AH177" s="387"/>
      <c r="AI177" s="387"/>
      <c r="AJ177" s="387"/>
      <c r="AK177" s="387"/>
      <c r="AL177" s="387"/>
      <c r="AM177" s="387"/>
      <c r="AN177" s="387"/>
      <c r="AO177" s="387"/>
      <c r="AP177" s="387"/>
      <c r="AQ177" s="387"/>
      <c r="AR177" s="387"/>
      <c r="AS177" s="387"/>
      <c r="AT177" s="387"/>
      <c r="AU177" s="387"/>
      <c r="AV177" s="387"/>
      <c r="AW177" s="387"/>
      <c r="AX177" s="387"/>
      <c r="AY177" s="387"/>
      <c r="AZ177" s="387"/>
      <c r="BA177" s="387"/>
      <c r="BB177" s="387"/>
      <c r="BC177" s="387"/>
      <c r="BD177" s="387"/>
      <c r="BE177" s="387"/>
      <c r="BF177" s="387"/>
      <c r="BG177" s="387"/>
      <c r="BH177" s="387"/>
      <c r="BI177" s="387"/>
      <c r="BJ177" s="387"/>
      <c r="BK177" s="388"/>
    </row>
    <row r="178" spans="1:63" s="402" customFormat="1" ht="21" hidden="1" customHeight="1" x14ac:dyDescent="0.2">
      <c r="A178" s="415" t="s">
        <v>19</v>
      </c>
      <c r="B178" s="415">
        <v>101627</v>
      </c>
      <c r="C178" s="416" t="s">
        <v>20</v>
      </c>
      <c r="D178" s="416" t="s">
        <v>44</v>
      </c>
      <c r="E178" s="415" t="s">
        <v>22</v>
      </c>
      <c r="F178" s="415" t="s">
        <v>23</v>
      </c>
      <c r="G178" s="417">
        <v>46029</v>
      </c>
      <c r="H178" s="385" t="s">
        <v>536</v>
      </c>
      <c r="I178" s="418">
        <v>25057328</v>
      </c>
      <c r="J178" s="415" t="s">
        <v>537</v>
      </c>
      <c r="K178" s="415">
        <v>71988232229</v>
      </c>
      <c r="L178" s="415">
        <v>71988232229</v>
      </c>
      <c r="M178" s="415" t="s">
        <v>70</v>
      </c>
      <c r="O178" s="420"/>
      <c r="P178" s="415" t="s">
        <v>97</v>
      </c>
      <c r="Q178" s="405"/>
      <c r="R178" s="423"/>
      <c r="S178" s="400" t="s">
        <v>97</v>
      </c>
      <c r="T178" s="400"/>
      <c r="U178" s="400"/>
      <c r="V178" s="400"/>
      <c r="W178" s="400"/>
      <c r="X178" s="400"/>
      <c r="Y178" s="400"/>
      <c r="Z178" s="400"/>
      <c r="AA178" s="400"/>
      <c r="AB178" s="400"/>
      <c r="AC178" s="400"/>
      <c r="AD178" s="400"/>
      <c r="AE178" s="400"/>
      <c r="AF178" s="400"/>
      <c r="AG178" s="400"/>
      <c r="AH178" s="400"/>
      <c r="AI178" s="400"/>
      <c r="AJ178" s="400"/>
      <c r="AK178" s="400"/>
      <c r="AL178" s="400"/>
      <c r="AM178" s="400"/>
      <c r="AN178" s="400"/>
      <c r="AO178" s="400"/>
      <c r="AP178" s="400"/>
      <c r="AQ178" s="400"/>
      <c r="AR178" s="400"/>
      <c r="AS178" s="400"/>
      <c r="AT178" s="400"/>
      <c r="AU178" s="400"/>
      <c r="AV178" s="400"/>
      <c r="AW178" s="400"/>
      <c r="AX178" s="400"/>
      <c r="AY178" s="400"/>
      <c r="AZ178" s="400"/>
      <c r="BA178" s="400"/>
      <c r="BB178" s="400"/>
      <c r="BC178" s="400"/>
      <c r="BD178" s="400"/>
      <c r="BE178" s="400"/>
      <c r="BF178" s="400"/>
      <c r="BG178" s="400"/>
      <c r="BH178" s="400"/>
      <c r="BI178" s="400"/>
      <c r="BJ178" s="400"/>
      <c r="BK178" s="401"/>
    </row>
    <row r="179" spans="1:63" s="415" customFormat="1" ht="21" hidden="1" customHeight="1" x14ac:dyDescent="0.2">
      <c r="A179" s="415" t="s">
        <v>19</v>
      </c>
      <c r="B179" s="415">
        <v>101630</v>
      </c>
      <c r="C179" s="416" t="s">
        <v>20</v>
      </c>
      <c r="D179" s="416" t="s">
        <v>40</v>
      </c>
      <c r="E179" s="415" t="s">
        <v>22</v>
      </c>
      <c r="F179" s="415" t="s">
        <v>23</v>
      </c>
      <c r="G179" s="417">
        <v>46028</v>
      </c>
      <c r="H179" s="385" t="s">
        <v>538</v>
      </c>
      <c r="I179" s="418">
        <v>25057199</v>
      </c>
      <c r="J179" s="415" t="s">
        <v>539</v>
      </c>
      <c r="K179" s="415">
        <v>71997289429</v>
      </c>
      <c r="L179" s="415">
        <v>71997289429</v>
      </c>
      <c r="M179" s="415" t="s">
        <v>540</v>
      </c>
      <c r="O179" s="416"/>
      <c r="Q179" s="461"/>
      <c r="R179" s="422"/>
      <c r="S179" s="424"/>
      <c r="T179" s="424"/>
      <c r="U179" s="424"/>
      <c r="V179" s="424"/>
      <c r="W179" s="424"/>
      <c r="X179" s="424"/>
      <c r="Y179" s="424"/>
      <c r="Z179" s="424"/>
      <c r="AA179" s="424"/>
      <c r="AB179" s="424"/>
      <c r="AC179" s="424"/>
      <c r="AD179" s="424"/>
      <c r="AE179" s="424"/>
      <c r="AF179" s="424"/>
      <c r="AG179" s="424"/>
      <c r="AH179" s="424"/>
      <c r="AI179" s="424"/>
      <c r="AJ179" s="424"/>
      <c r="AK179" s="424"/>
      <c r="AL179" s="424"/>
      <c r="AM179" s="424"/>
      <c r="AN179" s="424"/>
      <c r="AO179" s="424"/>
      <c r="AP179" s="424"/>
      <c r="AQ179" s="424"/>
      <c r="AR179" s="424"/>
      <c r="AS179" s="424"/>
      <c r="AT179" s="424"/>
      <c r="AU179" s="424"/>
      <c r="AV179" s="424"/>
      <c r="AW179" s="424"/>
      <c r="AX179" s="424"/>
      <c r="AY179" s="424"/>
      <c r="AZ179" s="424"/>
      <c r="BA179" s="424"/>
      <c r="BB179" s="424"/>
      <c r="BC179" s="424"/>
      <c r="BD179" s="424"/>
      <c r="BE179" s="424"/>
      <c r="BF179" s="424"/>
      <c r="BG179" s="424"/>
      <c r="BH179" s="424"/>
      <c r="BI179" s="424"/>
      <c r="BJ179" s="424"/>
      <c r="BK179" s="462"/>
    </row>
    <row r="180" spans="1:63" s="402" customFormat="1" ht="21" hidden="1" customHeight="1" x14ac:dyDescent="0.2">
      <c r="A180" s="415" t="s">
        <v>19</v>
      </c>
      <c r="B180" s="415">
        <v>101631</v>
      </c>
      <c r="C180" s="416" t="s">
        <v>20</v>
      </c>
      <c r="D180" s="416" t="s">
        <v>27</v>
      </c>
      <c r="E180" s="415" t="s">
        <v>22</v>
      </c>
      <c r="F180" s="415" t="s">
        <v>23</v>
      </c>
      <c r="G180" s="417">
        <v>46029</v>
      </c>
      <c r="H180" s="385" t="s">
        <v>541</v>
      </c>
      <c r="I180" s="418">
        <v>25057325</v>
      </c>
      <c r="J180" s="415" t="s">
        <v>542</v>
      </c>
      <c r="K180" s="415">
        <v>71992040484</v>
      </c>
      <c r="L180" s="415">
        <v>71992040484</v>
      </c>
      <c r="M180" s="415" t="s">
        <v>540</v>
      </c>
      <c r="O180" s="420" t="s">
        <v>543</v>
      </c>
      <c r="Q180" s="405"/>
      <c r="R180" s="423" t="s">
        <v>544</v>
      </c>
      <c r="S180" s="400"/>
      <c r="T180" s="400"/>
      <c r="U180" s="400"/>
      <c r="V180" s="400"/>
      <c r="W180" s="400"/>
      <c r="X180" s="400"/>
      <c r="Y180" s="400"/>
      <c r="Z180" s="400"/>
      <c r="AA180" s="400"/>
      <c r="AB180" s="400"/>
      <c r="AC180" s="400"/>
      <c r="AD180" s="400"/>
      <c r="AE180" s="400"/>
      <c r="AF180" s="400"/>
      <c r="AG180" s="400"/>
      <c r="AH180" s="400"/>
      <c r="AI180" s="400"/>
      <c r="AJ180" s="400"/>
      <c r="AK180" s="400"/>
      <c r="AL180" s="400"/>
      <c r="AM180" s="400"/>
      <c r="AN180" s="400"/>
      <c r="AO180" s="400"/>
      <c r="AP180" s="400"/>
      <c r="AQ180" s="400"/>
      <c r="AR180" s="400"/>
      <c r="AS180" s="400"/>
      <c r="AT180" s="400"/>
      <c r="AU180" s="400"/>
      <c r="AV180" s="400"/>
      <c r="AW180" s="400"/>
      <c r="AX180" s="400"/>
      <c r="AY180" s="400"/>
      <c r="AZ180" s="400"/>
      <c r="BA180" s="400"/>
      <c r="BB180" s="400"/>
      <c r="BC180" s="400"/>
      <c r="BD180" s="400"/>
      <c r="BE180" s="400"/>
      <c r="BF180" s="400"/>
      <c r="BG180" s="400"/>
      <c r="BH180" s="400"/>
      <c r="BI180" s="400"/>
      <c r="BJ180" s="400"/>
      <c r="BK180" s="401"/>
    </row>
    <row r="181" spans="1:63" s="402" customFormat="1" ht="21" hidden="1" customHeight="1" x14ac:dyDescent="0.2">
      <c r="A181" s="415" t="s">
        <v>19</v>
      </c>
      <c r="B181" s="415">
        <v>101626</v>
      </c>
      <c r="C181" s="416" t="s">
        <v>20</v>
      </c>
      <c r="D181" s="416" t="s">
        <v>21</v>
      </c>
      <c r="E181" s="415" t="s">
        <v>22</v>
      </c>
      <c r="F181" s="415" t="s">
        <v>23</v>
      </c>
      <c r="G181" s="417">
        <v>46028</v>
      </c>
      <c r="H181" s="385" t="s">
        <v>545</v>
      </c>
      <c r="I181" s="418">
        <v>21815051</v>
      </c>
      <c r="J181" s="415" t="s">
        <v>546</v>
      </c>
      <c r="K181" s="415">
        <v>71986325389</v>
      </c>
      <c r="L181" s="415">
        <v>71986325389</v>
      </c>
      <c r="M181" s="415" t="s">
        <v>70</v>
      </c>
      <c r="O181" s="420"/>
      <c r="Q181" s="405"/>
      <c r="R181" s="423" t="s">
        <v>547</v>
      </c>
      <c r="S181" s="400"/>
      <c r="T181" s="400"/>
      <c r="U181" s="400"/>
      <c r="V181" s="400"/>
      <c r="W181" s="400"/>
      <c r="X181" s="400"/>
      <c r="Y181" s="400"/>
      <c r="Z181" s="400"/>
      <c r="AA181" s="400"/>
      <c r="AB181" s="400"/>
      <c r="AC181" s="400"/>
      <c r="AD181" s="400"/>
      <c r="AE181" s="400"/>
      <c r="AF181" s="400"/>
      <c r="AG181" s="400"/>
      <c r="AH181" s="400"/>
      <c r="AI181" s="400"/>
      <c r="AJ181" s="400"/>
      <c r="AK181" s="400"/>
      <c r="AL181" s="400"/>
      <c r="AM181" s="400"/>
      <c r="AN181" s="400"/>
      <c r="AO181" s="400"/>
      <c r="AP181" s="400"/>
      <c r="AQ181" s="400"/>
      <c r="AR181" s="400"/>
      <c r="AS181" s="400"/>
      <c r="AT181" s="400"/>
      <c r="AU181" s="400"/>
      <c r="AV181" s="400"/>
      <c r="AW181" s="400"/>
      <c r="AX181" s="400"/>
      <c r="AY181" s="400"/>
      <c r="AZ181" s="400"/>
      <c r="BA181" s="400"/>
      <c r="BB181" s="400"/>
      <c r="BC181" s="400"/>
      <c r="BD181" s="400"/>
      <c r="BE181" s="400"/>
      <c r="BF181" s="400"/>
      <c r="BG181" s="400"/>
      <c r="BH181" s="400"/>
      <c r="BI181" s="400"/>
      <c r="BJ181" s="400"/>
      <c r="BK181" s="401"/>
    </row>
    <row r="182" spans="1:63" s="402" customFormat="1" ht="21" hidden="1" customHeight="1" x14ac:dyDescent="0.2">
      <c r="A182" s="415" t="s">
        <v>19</v>
      </c>
      <c r="B182" s="415">
        <v>101631</v>
      </c>
      <c r="C182" s="416" t="s">
        <v>20</v>
      </c>
      <c r="D182" s="416" t="s">
        <v>27</v>
      </c>
      <c r="E182" s="415" t="s">
        <v>22</v>
      </c>
      <c r="F182" s="415" t="s">
        <v>23</v>
      </c>
      <c r="G182" s="417">
        <v>46027</v>
      </c>
      <c r="H182" s="385" t="s">
        <v>548</v>
      </c>
      <c r="I182" s="418">
        <v>25056904</v>
      </c>
      <c r="J182" s="415" t="s">
        <v>549</v>
      </c>
      <c r="K182" s="415">
        <v>75999383823</v>
      </c>
      <c r="L182" s="415">
        <v>75999383823</v>
      </c>
      <c r="M182" s="415" t="s">
        <v>70</v>
      </c>
      <c r="O182" s="420"/>
      <c r="Q182" s="405"/>
      <c r="R182" s="423"/>
      <c r="S182" s="400"/>
      <c r="T182" s="400"/>
      <c r="U182" s="400"/>
      <c r="V182" s="400"/>
      <c r="W182" s="400"/>
      <c r="X182" s="400"/>
      <c r="Y182" s="400"/>
      <c r="Z182" s="400"/>
      <c r="AA182" s="400"/>
      <c r="AB182" s="400"/>
      <c r="AC182" s="400"/>
      <c r="AD182" s="400"/>
      <c r="AE182" s="400"/>
      <c r="AF182" s="400"/>
      <c r="AG182" s="400"/>
      <c r="AH182" s="400"/>
      <c r="AI182" s="400"/>
      <c r="AJ182" s="400"/>
      <c r="AK182" s="400"/>
      <c r="AL182" s="400"/>
      <c r="AM182" s="400"/>
      <c r="AN182" s="400"/>
      <c r="AO182" s="400"/>
      <c r="AP182" s="400"/>
      <c r="AQ182" s="400"/>
      <c r="AR182" s="400"/>
      <c r="AS182" s="400"/>
      <c r="AT182" s="400"/>
      <c r="AU182" s="400"/>
      <c r="AV182" s="400"/>
      <c r="AW182" s="400"/>
      <c r="AX182" s="400"/>
      <c r="AY182" s="400"/>
      <c r="AZ182" s="400"/>
      <c r="BA182" s="400"/>
      <c r="BB182" s="400"/>
      <c r="BC182" s="400"/>
      <c r="BD182" s="400"/>
      <c r="BE182" s="400"/>
      <c r="BF182" s="400"/>
      <c r="BG182" s="400"/>
      <c r="BH182" s="400"/>
      <c r="BI182" s="400"/>
      <c r="BJ182" s="400"/>
      <c r="BK182" s="401"/>
    </row>
    <row r="183" spans="1:63" s="402" customFormat="1" ht="21" hidden="1" customHeight="1" x14ac:dyDescent="0.2">
      <c r="A183" s="415" t="s">
        <v>19</v>
      </c>
      <c r="B183" s="415">
        <v>101626</v>
      </c>
      <c r="C183" s="416" t="s">
        <v>20</v>
      </c>
      <c r="D183" s="416" t="s">
        <v>21</v>
      </c>
      <c r="E183" s="415" t="s">
        <v>22</v>
      </c>
      <c r="F183" s="415" t="s">
        <v>23</v>
      </c>
      <c r="G183" s="417">
        <v>46029</v>
      </c>
      <c r="H183" s="385" t="s">
        <v>550</v>
      </c>
      <c r="I183" s="418">
        <v>23938172</v>
      </c>
      <c r="J183" s="415" t="s">
        <v>551</v>
      </c>
      <c r="K183" s="415">
        <v>71997074203</v>
      </c>
      <c r="L183" s="415">
        <v>71997074203</v>
      </c>
      <c r="M183" s="415" t="s">
        <v>70</v>
      </c>
      <c r="O183" s="420"/>
      <c r="Q183" s="405"/>
      <c r="R183" s="423"/>
      <c r="S183" s="400"/>
      <c r="T183" s="400"/>
      <c r="U183" s="400"/>
      <c r="V183" s="400"/>
      <c r="W183" s="400"/>
      <c r="X183" s="400"/>
      <c r="Y183" s="400"/>
      <c r="Z183" s="400"/>
      <c r="AA183" s="400"/>
      <c r="AB183" s="400"/>
      <c r="AC183" s="400"/>
      <c r="AD183" s="400"/>
      <c r="AE183" s="400"/>
      <c r="AF183" s="400"/>
      <c r="AG183" s="400"/>
      <c r="AH183" s="400"/>
      <c r="AI183" s="400"/>
      <c r="AJ183" s="400"/>
      <c r="AK183" s="400"/>
      <c r="AL183" s="400"/>
      <c r="AM183" s="400"/>
      <c r="AN183" s="400"/>
      <c r="AO183" s="400"/>
      <c r="AP183" s="400"/>
      <c r="AQ183" s="400"/>
      <c r="AR183" s="400"/>
      <c r="AS183" s="400"/>
      <c r="AT183" s="400"/>
      <c r="AU183" s="400"/>
      <c r="AV183" s="400"/>
      <c r="AW183" s="400"/>
      <c r="AX183" s="400"/>
      <c r="AY183" s="400"/>
      <c r="AZ183" s="400"/>
      <c r="BA183" s="400"/>
      <c r="BB183" s="400"/>
      <c r="BC183" s="400"/>
      <c r="BD183" s="400"/>
      <c r="BE183" s="400"/>
      <c r="BF183" s="400"/>
      <c r="BG183" s="400"/>
      <c r="BH183" s="400"/>
      <c r="BI183" s="400"/>
      <c r="BJ183" s="400"/>
      <c r="BK183" s="401"/>
    </row>
    <row r="184" spans="1:63" s="402" customFormat="1" ht="21" hidden="1" customHeight="1" x14ac:dyDescent="0.2">
      <c r="A184" s="415" t="s">
        <v>19</v>
      </c>
      <c r="B184" s="415">
        <v>101626</v>
      </c>
      <c r="C184" s="416" t="s">
        <v>20</v>
      </c>
      <c r="D184" s="416" t="s">
        <v>21</v>
      </c>
      <c r="E184" s="415" t="s">
        <v>22</v>
      </c>
      <c r="F184" s="415" t="s">
        <v>23</v>
      </c>
      <c r="G184" s="417">
        <v>46029</v>
      </c>
      <c r="H184" s="385" t="s">
        <v>552</v>
      </c>
      <c r="I184" s="418">
        <v>19695487</v>
      </c>
      <c r="J184" s="415" t="s">
        <v>553</v>
      </c>
      <c r="K184" s="415">
        <v>71981759692</v>
      </c>
      <c r="L184" s="415">
        <v>71981759692</v>
      </c>
      <c r="M184" s="415" t="s">
        <v>70</v>
      </c>
      <c r="O184" s="420"/>
      <c r="Q184" s="405"/>
      <c r="R184" s="423"/>
      <c r="S184" s="400"/>
      <c r="T184" s="400"/>
      <c r="U184" s="400"/>
      <c r="V184" s="400"/>
      <c r="W184" s="400"/>
      <c r="X184" s="400"/>
      <c r="Y184" s="400"/>
      <c r="Z184" s="400"/>
      <c r="AA184" s="400"/>
      <c r="AB184" s="400"/>
      <c r="AC184" s="400"/>
      <c r="AD184" s="400"/>
      <c r="AE184" s="400"/>
      <c r="AF184" s="400"/>
      <c r="AG184" s="400"/>
      <c r="AH184" s="400"/>
      <c r="AI184" s="400"/>
      <c r="AJ184" s="400"/>
      <c r="AK184" s="400"/>
      <c r="AL184" s="400"/>
      <c r="AM184" s="400"/>
      <c r="AN184" s="400"/>
      <c r="AO184" s="400"/>
      <c r="AP184" s="400"/>
      <c r="AQ184" s="400"/>
      <c r="AR184" s="400"/>
      <c r="AS184" s="400"/>
      <c r="AT184" s="400"/>
      <c r="AU184" s="400"/>
      <c r="AV184" s="400"/>
      <c r="AW184" s="400"/>
      <c r="AX184" s="400"/>
      <c r="AY184" s="400"/>
      <c r="AZ184" s="400"/>
      <c r="BA184" s="400"/>
      <c r="BB184" s="400"/>
      <c r="BC184" s="400"/>
      <c r="BD184" s="400"/>
      <c r="BE184" s="400"/>
      <c r="BF184" s="400"/>
      <c r="BG184" s="400"/>
      <c r="BH184" s="400"/>
      <c r="BI184" s="400"/>
      <c r="BJ184" s="400"/>
      <c r="BK184" s="401"/>
    </row>
    <row r="185" spans="1:63" s="381" customFormat="1" ht="21" hidden="1" customHeight="1" x14ac:dyDescent="0.2">
      <c r="A185" s="381" t="s">
        <v>19</v>
      </c>
      <c r="B185" s="381">
        <v>101630</v>
      </c>
      <c r="C185" s="382" t="s">
        <v>20</v>
      </c>
      <c r="D185" s="382" t="s">
        <v>40</v>
      </c>
      <c r="E185" s="381" t="s">
        <v>22</v>
      </c>
      <c r="F185" s="381" t="s">
        <v>23</v>
      </c>
      <c r="G185" s="384">
        <v>46029</v>
      </c>
      <c r="H185" s="390" t="s">
        <v>554</v>
      </c>
      <c r="I185" s="393">
        <v>18670015</v>
      </c>
      <c r="J185" s="391" t="s">
        <v>555</v>
      </c>
      <c r="K185" s="381">
        <v>71993659023</v>
      </c>
      <c r="L185" s="381">
        <v>71993659023</v>
      </c>
      <c r="M185" s="381" t="s">
        <v>70</v>
      </c>
      <c r="O185" s="382" t="s">
        <v>381</v>
      </c>
      <c r="Q185" s="386"/>
      <c r="R185" s="399" t="s">
        <v>556</v>
      </c>
      <c r="S185" s="387"/>
      <c r="T185" s="387"/>
      <c r="U185" s="387"/>
      <c r="V185" s="387"/>
      <c r="W185" s="387"/>
      <c r="X185" s="387"/>
      <c r="Y185" s="387"/>
      <c r="Z185" s="387"/>
      <c r="AA185" s="387"/>
      <c r="AB185" s="387"/>
      <c r="AC185" s="387"/>
      <c r="AD185" s="387"/>
      <c r="AE185" s="387"/>
      <c r="AF185" s="387"/>
      <c r="AG185" s="387"/>
      <c r="AH185" s="387"/>
      <c r="AI185" s="387"/>
      <c r="AJ185" s="387"/>
      <c r="AK185" s="387"/>
      <c r="AL185" s="387"/>
      <c r="AM185" s="387"/>
      <c r="AN185" s="387"/>
      <c r="AO185" s="387"/>
      <c r="AP185" s="387"/>
      <c r="AQ185" s="387"/>
      <c r="AR185" s="387"/>
      <c r="AS185" s="387"/>
      <c r="AT185" s="387"/>
      <c r="AU185" s="387"/>
      <c r="AV185" s="387"/>
      <c r="AW185" s="387"/>
      <c r="AX185" s="387"/>
      <c r="AY185" s="387"/>
      <c r="AZ185" s="387"/>
      <c r="BA185" s="387"/>
      <c r="BB185" s="387"/>
      <c r="BC185" s="387"/>
      <c r="BD185" s="387"/>
      <c r="BE185" s="387"/>
      <c r="BF185" s="387"/>
      <c r="BG185" s="387"/>
      <c r="BH185" s="387"/>
      <c r="BI185" s="387"/>
      <c r="BJ185" s="387"/>
      <c r="BK185" s="388"/>
    </row>
    <row r="186" spans="1:63" s="402" customFormat="1" ht="12" hidden="1" customHeight="1" x14ac:dyDescent="0.2">
      <c r="A186" s="415" t="s">
        <v>19</v>
      </c>
      <c r="B186" s="415">
        <v>101628</v>
      </c>
      <c r="C186" s="416" t="s">
        <v>20</v>
      </c>
      <c r="D186" s="416" t="s">
        <v>252</v>
      </c>
      <c r="E186" s="415" t="s">
        <v>22</v>
      </c>
      <c r="F186" s="415" t="s">
        <v>23</v>
      </c>
      <c r="G186" s="417">
        <v>46030</v>
      </c>
      <c r="H186" s="385" t="s">
        <v>557</v>
      </c>
      <c r="I186" s="418">
        <v>25026250</v>
      </c>
      <c r="J186" s="415" t="s">
        <v>558</v>
      </c>
      <c r="K186" s="415">
        <v>71987507478</v>
      </c>
      <c r="L186" s="415">
        <v>71987507478</v>
      </c>
      <c r="M186" s="415" t="s">
        <v>70</v>
      </c>
      <c r="O186" s="420"/>
      <c r="P186" s="415" t="s">
        <v>97</v>
      </c>
      <c r="Q186" s="405"/>
      <c r="R186" s="423"/>
      <c r="S186" s="400" t="s">
        <v>97</v>
      </c>
      <c r="T186" s="400"/>
      <c r="U186" s="400"/>
      <c r="V186" s="400"/>
      <c r="W186" s="400"/>
      <c r="X186" s="400"/>
      <c r="Y186" s="400"/>
      <c r="Z186" s="400"/>
      <c r="AA186" s="400"/>
      <c r="AB186" s="400"/>
      <c r="AC186" s="400"/>
      <c r="AD186" s="400"/>
      <c r="AE186" s="400"/>
      <c r="AF186" s="400"/>
      <c r="AG186" s="400"/>
      <c r="AH186" s="400"/>
      <c r="AI186" s="400"/>
      <c r="AJ186" s="400"/>
      <c r="AK186" s="400"/>
      <c r="AL186" s="400"/>
      <c r="AM186" s="400"/>
      <c r="AN186" s="400"/>
      <c r="AO186" s="400"/>
      <c r="AP186" s="400"/>
      <c r="AQ186" s="400"/>
      <c r="AR186" s="400"/>
      <c r="AS186" s="400"/>
      <c r="AT186" s="400"/>
      <c r="AU186" s="400"/>
      <c r="AV186" s="400"/>
      <c r="AW186" s="400"/>
      <c r="AX186" s="400"/>
      <c r="AY186" s="400"/>
      <c r="AZ186" s="400"/>
      <c r="BA186" s="400"/>
      <c r="BB186" s="400"/>
      <c r="BC186" s="400"/>
      <c r="BD186" s="400"/>
      <c r="BE186" s="400"/>
      <c r="BF186" s="400"/>
      <c r="BG186" s="400"/>
      <c r="BH186" s="400"/>
      <c r="BI186" s="400"/>
      <c r="BJ186" s="400"/>
      <c r="BK186" s="401"/>
    </row>
    <row r="187" spans="1:63" s="402" customFormat="1" ht="21" hidden="1" customHeight="1" x14ac:dyDescent="0.2">
      <c r="A187" s="415" t="s">
        <v>19</v>
      </c>
      <c r="B187" s="415">
        <v>101630</v>
      </c>
      <c r="C187" s="416" t="s">
        <v>20</v>
      </c>
      <c r="D187" s="416" t="s">
        <v>40</v>
      </c>
      <c r="E187" s="415" t="s">
        <v>22</v>
      </c>
      <c r="F187" s="415" t="s">
        <v>23</v>
      </c>
      <c r="G187" s="417">
        <v>46027</v>
      </c>
      <c r="H187" s="385" t="s">
        <v>559</v>
      </c>
      <c r="I187" s="418">
        <v>232981161</v>
      </c>
      <c r="J187" s="436" t="s">
        <v>560</v>
      </c>
      <c r="K187" s="415">
        <v>71988120856</v>
      </c>
      <c r="L187" s="415">
        <v>71988120856</v>
      </c>
      <c r="M187" s="415" t="s">
        <v>73</v>
      </c>
      <c r="O187" s="420" t="s">
        <v>561</v>
      </c>
      <c r="Q187" s="405"/>
      <c r="R187" s="423" t="s">
        <v>562</v>
      </c>
      <c r="S187" s="400"/>
      <c r="T187" s="400"/>
      <c r="U187" s="400"/>
      <c r="V187" s="400"/>
      <c r="W187" s="400"/>
      <c r="X187" s="400"/>
      <c r="Y187" s="400"/>
      <c r="Z187" s="400"/>
      <c r="AA187" s="400"/>
      <c r="AB187" s="400"/>
      <c r="AC187" s="400"/>
      <c r="AD187" s="400"/>
      <c r="AE187" s="400"/>
      <c r="AF187" s="400"/>
      <c r="AG187" s="400"/>
      <c r="AH187" s="400"/>
      <c r="AI187" s="400"/>
      <c r="AJ187" s="400"/>
      <c r="AK187" s="400"/>
      <c r="AL187" s="400"/>
      <c r="AM187" s="400"/>
      <c r="AN187" s="400"/>
      <c r="AO187" s="400"/>
      <c r="AP187" s="400"/>
      <c r="AQ187" s="400"/>
      <c r="AR187" s="400"/>
      <c r="AS187" s="400"/>
      <c r="AT187" s="400"/>
      <c r="AU187" s="400"/>
      <c r="AV187" s="400"/>
      <c r="AW187" s="400"/>
      <c r="AX187" s="400"/>
      <c r="AY187" s="400"/>
      <c r="AZ187" s="400"/>
      <c r="BA187" s="400"/>
      <c r="BB187" s="400"/>
      <c r="BC187" s="400"/>
      <c r="BD187" s="400"/>
      <c r="BE187" s="400"/>
      <c r="BF187" s="400"/>
      <c r="BG187" s="400"/>
      <c r="BH187" s="400"/>
      <c r="BI187" s="400"/>
      <c r="BJ187" s="400"/>
      <c r="BK187" s="401"/>
    </row>
    <row r="188" spans="1:63" s="435" customFormat="1" ht="34.5" hidden="1" customHeight="1" x14ac:dyDescent="0.25">
      <c r="A188" s="435" t="s">
        <v>19</v>
      </c>
      <c r="B188" s="435">
        <v>101627</v>
      </c>
      <c r="C188" s="419" t="s">
        <v>175</v>
      </c>
      <c r="D188" s="419" t="s">
        <v>44</v>
      </c>
      <c r="E188" s="435" t="s">
        <v>22</v>
      </c>
      <c r="F188" s="435" t="s">
        <v>23</v>
      </c>
      <c r="G188" s="438">
        <v>46031</v>
      </c>
      <c r="H188" s="403" t="s">
        <v>563</v>
      </c>
      <c r="I188" s="448">
        <v>25057651</v>
      </c>
      <c r="J188" s="490" t="s">
        <v>564</v>
      </c>
      <c r="K188" s="435">
        <v>47984420176</v>
      </c>
      <c r="L188" s="435">
        <v>47984420176</v>
      </c>
      <c r="M188" s="435" t="s">
        <v>73</v>
      </c>
      <c r="N188" s="435" t="s">
        <v>52</v>
      </c>
      <c r="O188" s="419" t="s">
        <v>565</v>
      </c>
      <c r="Q188" s="486"/>
      <c r="R188" s="487" t="s">
        <v>566</v>
      </c>
      <c r="S188" s="488"/>
      <c r="T188" s="488"/>
      <c r="U188" s="488"/>
      <c r="V188" s="488"/>
      <c r="W188" s="488"/>
      <c r="X188" s="488"/>
      <c r="Y188" s="488"/>
      <c r="Z188" s="488"/>
      <c r="AA188" s="488"/>
      <c r="AB188" s="488"/>
      <c r="AC188" s="488"/>
      <c r="AD188" s="488"/>
      <c r="AE188" s="488"/>
      <c r="AF188" s="488"/>
      <c r="AG188" s="488"/>
      <c r="AH188" s="488"/>
      <c r="AI188" s="488"/>
      <c r="AJ188" s="488"/>
      <c r="AK188" s="488"/>
      <c r="AL188" s="488"/>
      <c r="AM188" s="488"/>
      <c r="AN188" s="488"/>
      <c r="AO188" s="488"/>
      <c r="AP188" s="488"/>
      <c r="AQ188" s="488"/>
      <c r="AR188" s="488"/>
      <c r="AS188" s="488"/>
      <c r="AT188" s="488"/>
      <c r="AU188" s="488"/>
      <c r="AV188" s="488"/>
      <c r="AW188" s="488"/>
      <c r="AX188" s="488"/>
      <c r="AY188" s="488"/>
      <c r="AZ188" s="488"/>
      <c r="BA188" s="488"/>
      <c r="BB188" s="488"/>
      <c r="BC188" s="488"/>
      <c r="BD188" s="488"/>
      <c r="BE188" s="488"/>
      <c r="BF188" s="488"/>
      <c r="BG188" s="488"/>
      <c r="BH188" s="488"/>
      <c r="BI188" s="488"/>
      <c r="BJ188" s="488"/>
      <c r="BK188" s="489"/>
    </row>
    <row r="189" spans="1:63" s="402" customFormat="1" ht="21" customHeight="1" x14ac:dyDescent="0.2">
      <c r="A189" s="415" t="s">
        <v>19</v>
      </c>
      <c r="B189" s="415">
        <v>101629</v>
      </c>
      <c r="C189" s="416" t="s">
        <v>20</v>
      </c>
      <c r="D189" s="416" t="s">
        <v>62</v>
      </c>
      <c r="E189" s="415" t="s">
        <v>22</v>
      </c>
      <c r="F189" s="415" t="s">
        <v>23</v>
      </c>
      <c r="G189" s="417">
        <v>46027</v>
      </c>
      <c r="H189" s="385" t="s">
        <v>567</v>
      </c>
      <c r="I189" s="418">
        <v>25056944</v>
      </c>
      <c r="J189" s="415" t="s">
        <v>568</v>
      </c>
      <c r="K189" s="415">
        <v>71997131548</v>
      </c>
      <c r="L189" s="415">
        <v>71997131548</v>
      </c>
      <c r="M189" s="415" t="s">
        <v>70</v>
      </c>
      <c r="O189" s="420"/>
      <c r="Q189" s="405"/>
      <c r="R189" s="423"/>
      <c r="S189" s="400"/>
      <c r="T189" s="400"/>
      <c r="U189" s="400"/>
      <c r="V189" s="400"/>
      <c r="W189" s="400"/>
      <c r="X189" s="400"/>
      <c r="Y189" s="400"/>
      <c r="Z189" s="400"/>
      <c r="AA189" s="400"/>
      <c r="AB189" s="400"/>
      <c r="AC189" s="400"/>
      <c r="AD189" s="400"/>
      <c r="AE189" s="400"/>
      <c r="AF189" s="400"/>
      <c r="AG189" s="400"/>
      <c r="AH189" s="400"/>
      <c r="AI189" s="400"/>
      <c r="AJ189" s="400"/>
      <c r="AK189" s="400"/>
      <c r="AL189" s="400"/>
      <c r="AM189" s="400"/>
      <c r="AN189" s="400"/>
      <c r="AO189" s="400"/>
      <c r="AP189" s="400"/>
      <c r="AQ189" s="400"/>
      <c r="AR189" s="400"/>
      <c r="AS189" s="400"/>
      <c r="AT189" s="400"/>
      <c r="AU189" s="400"/>
      <c r="AV189" s="400"/>
      <c r="AW189" s="400"/>
      <c r="AX189" s="400"/>
      <c r="AY189" s="400"/>
      <c r="AZ189" s="400"/>
      <c r="BA189" s="400"/>
      <c r="BB189" s="400"/>
      <c r="BC189" s="400"/>
      <c r="BD189" s="400"/>
      <c r="BE189" s="400"/>
      <c r="BF189" s="400"/>
      <c r="BG189" s="400"/>
      <c r="BH189" s="400"/>
      <c r="BI189" s="400"/>
      <c r="BJ189" s="400"/>
      <c r="BK189" s="401"/>
    </row>
    <row r="190" spans="1:63" s="402" customFormat="1" ht="21" hidden="1" customHeight="1" x14ac:dyDescent="0.2">
      <c r="A190" s="415" t="s">
        <v>19</v>
      </c>
      <c r="B190" s="415">
        <v>101628</v>
      </c>
      <c r="C190" s="416" t="s">
        <v>20</v>
      </c>
      <c r="D190" s="416" t="s">
        <v>252</v>
      </c>
      <c r="E190" s="415" t="s">
        <v>22</v>
      </c>
      <c r="F190" s="415" t="s">
        <v>23</v>
      </c>
      <c r="G190" s="417">
        <v>46030</v>
      </c>
      <c r="H190" s="385" t="s">
        <v>569</v>
      </c>
      <c r="I190" s="418">
        <v>25057517</v>
      </c>
      <c r="J190" s="415" t="s">
        <v>570</v>
      </c>
      <c r="K190" s="415">
        <v>71982715000</v>
      </c>
      <c r="L190" s="415">
        <v>71982715000</v>
      </c>
      <c r="M190" s="415" t="s">
        <v>70</v>
      </c>
      <c r="O190" s="420"/>
      <c r="Q190" s="405"/>
      <c r="R190" s="423"/>
      <c r="S190" s="400"/>
      <c r="T190" s="400"/>
      <c r="U190" s="400"/>
      <c r="V190" s="400"/>
      <c r="W190" s="400"/>
      <c r="X190" s="400"/>
      <c r="Y190" s="400"/>
      <c r="Z190" s="400"/>
      <c r="AA190" s="400"/>
      <c r="AB190" s="400"/>
      <c r="AC190" s="400"/>
      <c r="AD190" s="400"/>
      <c r="AE190" s="400"/>
      <c r="AF190" s="400"/>
      <c r="AG190" s="400"/>
      <c r="AH190" s="400"/>
      <c r="AI190" s="400"/>
      <c r="AJ190" s="400"/>
      <c r="AK190" s="400"/>
      <c r="AL190" s="400"/>
      <c r="AM190" s="400"/>
      <c r="AN190" s="400"/>
      <c r="AO190" s="400"/>
      <c r="AP190" s="400"/>
      <c r="AQ190" s="400"/>
      <c r="AR190" s="400"/>
      <c r="AS190" s="400"/>
      <c r="AT190" s="400"/>
      <c r="AU190" s="400"/>
      <c r="AV190" s="400"/>
      <c r="AW190" s="400"/>
      <c r="AX190" s="400"/>
      <c r="AY190" s="400"/>
      <c r="AZ190" s="400"/>
      <c r="BA190" s="400"/>
      <c r="BB190" s="400"/>
      <c r="BC190" s="400"/>
      <c r="BD190" s="400"/>
      <c r="BE190" s="400"/>
      <c r="BF190" s="400"/>
      <c r="BG190" s="400"/>
      <c r="BH190" s="400"/>
      <c r="BI190" s="400"/>
      <c r="BJ190" s="400"/>
      <c r="BK190" s="401"/>
    </row>
    <row r="191" spans="1:63" s="402" customFormat="1" ht="21" hidden="1" customHeight="1" x14ac:dyDescent="0.2">
      <c r="A191" s="415" t="s">
        <v>19</v>
      </c>
      <c r="B191" s="415">
        <v>101630</v>
      </c>
      <c r="C191" s="416" t="s">
        <v>20</v>
      </c>
      <c r="D191" s="416" t="s">
        <v>40</v>
      </c>
      <c r="E191" s="415" t="s">
        <v>22</v>
      </c>
      <c r="F191" s="415" t="s">
        <v>23</v>
      </c>
      <c r="G191" s="417">
        <v>46030</v>
      </c>
      <c r="H191" s="385" t="s">
        <v>571</v>
      </c>
      <c r="I191" s="418">
        <v>23959375</v>
      </c>
      <c r="J191" s="415" t="s">
        <v>572</v>
      </c>
      <c r="K191" s="415">
        <v>71999127297</v>
      </c>
      <c r="L191" s="415">
        <v>71999127297</v>
      </c>
      <c r="M191" s="415" t="s">
        <v>70</v>
      </c>
      <c r="O191" s="420"/>
      <c r="Q191" s="405"/>
      <c r="R191" s="423"/>
      <c r="S191" s="400"/>
      <c r="T191" s="400"/>
      <c r="U191" s="400"/>
      <c r="V191" s="400"/>
      <c r="W191" s="400"/>
      <c r="X191" s="400"/>
      <c r="Y191" s="400"/>
      <c r="Z191" s="400"/>
      <c r="AA191" s="400"/>
      <c r="AB191" s="400"/>
      <c r="AC191" s="400"/>
      <c r="AD191" s="400"/>
      <c r="AE191" s="400"/>
      <c r="AF191" s="400"/>
      <c r="AG191" s="400"/>
      <c r="AH191" s="400"/>
      <c r="AI191" s="400"/>
      <c r="AJ191" s="400"/>
      <c r="AK191" s="400"/>
      <c r="AL191" s="400"/>
      <c r="AM191" s="400"/>
      <c r="AN191" s="400"/>
      <c r="AO191" s="400"/>
      <c r="AP191" s="400"/>
      <c r="AQ191" s="400"/>
      <c r="AR191" s="400"/>
      <c r="AS191" s="400"/>
      <c r="AT191" s="400"/>
      <c r="AU191" s="400"/>
      <c r="AV191" s="400"/>
      <c r="AW191" s="400"/>
      <c r="AX191" s="400"/>
      <c r="AY191" s="400"/>
      <c r="AZ191" s="400"/>
      <c r="BA191" s="400"/>
      <c r="BB191" s="400"/>
      <c r="BC191" s="400"/>
      <c r="BD191" s="400"/>
      <c r="BE191" s="400"/>
      <c r="BF191" s="400"/>
      <c r="BG191" s="400"/>
      <c r="BH191" s="400"/>
      <c r="BI191" s="400"/>
      <c r="BJ191" s="400"/>
      <c r="BK191" s="401"/>
    </row>
    <row r="192" spans="1:63" s="402" customFormat="1" ht="21" hidden="1" customHeight="1" x14ac:dyDescent="0.2">
      <c r="A192" s="415" t="s">
        <v>19</v>
      </c>
      <c r="B192" s="415">
        <v>101630</v>
      </c>
      <c r="C192" s="416" t="s">
        <v>20</v>
      </c>
      <c r="D192" s="416" t="s">
        <v>40</v>
      </c>
      <c r="E192" s="415" t="s">
        <v>22</v>
      </c>
      <c r="F192" s="415" t="s">
        <v>23</v>
      </c>
      <c r="G192" s="417">
        <v>46034</v>
      </c>
      <c r="H192" s="385" t="s">
        <v>573</v>
      </c>
      <c r="I192" s="418">
        <v>232965497</v>
      </c>
      <c r="J192" s="415" t="s">
        <v>574</v>
      </c>
      <c r="K192" s="415">
        <v>71993554139</v>
      </c>
      <c r="L192" s="415">
        <v>71993554139</v>
      </c>
      <c r="M192" s="415" t="s">
        <v>70</v>
      </c>
      <c r="O192" s="420"/>
      <c r="P192" s="415" t="s">
        <v>97</v>
      </c>
      <c r="Q192" s="405"/>
      <c r="R192" s="423"/>
      <c r="S192" s="400" t="s">
        <v>97</v>
      </c>
      <c r="T192" s="400"/>
      <c r="U192" s="400"/>
      <c r="V192" s="400"/>
      <c r="W192" s="400"/>
      <c r="X192" s="400"/>
      <c r="Y192" s="400"/>
      <c r="Z192" s="400"/>
      <c r="AA192" s="400"/>
      <c r="AB192" s="400"/>
      <c r="AC192" s="400"/>
      <c r="AD192" s="400"/>
      <c r="AE192" s="400"/>
      <c r="AF192" s="400"/>
      <c r="AG192" s="400"/>
      <c r="AH192" s="400"/>
      <c r="AI192" s="400"/>
      <c r="AJ192" s="400"/>
      <c r="AK192" s="400"/>
      <c r="AL192" s="400"/>
      <c r="AM192" s="400"/>
      <c r="AN192" s="400"/>
      <c r="AO192" s="400"/>
      <c r="AP192" s="400"/>
      <c r="AQ192" s="400"/>
      <c r="AR192" s="400"/>
      <c r="AS192" s="400"/>
      <c r="AT192" s="400"/>
      <c r="AU192" s="400"/>
      <c r="AV192" s="400"/>
      <c r="AW192" s="400"/>
      <c r="AX192" s="400"/>
      <c r="AY192" s="400"/>
      <c r="AZ192" s="400"/>
      <c r="BA192" s="400"/>
      <c r="BB192" s="400"/>
      <c r="BC192" s="400"/>
      <c r="BD192" s="400"/>
      <c r="BE192" s="400"/>
      <c r="BF192" s="400"/>
      <c r="BG192" s="400"/>
      <c r="BH192" s="400"/>
      <c r="BI192" s="400"/>
      <c r="BJ192" s="400"/>
      <c r="BK192" s="401"/>
    </row>
    <row r="193" spans="1:63" s="402" customFormat="1" ht="21" hidden="1" customHeight="1" x14ac:dyDescent="0.2">
      <c r="A193" s="415" t="s">
        <v>19</v>
      </c>
      <c r="B193" s="415">
        <v>101625</v>
      </c>
      <c r="C193" s="416" t="s">
        <v>20</v>
      </c>
      <c r="D193" s="416" t="s">
        <v>187</v>
      </c>
      <c r="E193" s="415" t="s">
        <v>22</v>
      </c>
      <c r="F193" s="415" t="s">
        <v>23</v>
      </c>
      <c r="G193" s="417">
        <v>46035</v>
      </c>
      <c r="H193" s="385" t="s">
        <v>575</v>
      </c>
      <c r="I193" s="418">
        <v>25057701</v>
      </c>
      <c r="J193" s="436" t="s">
        <v>576</v>
      </c>
      <c r="K193" s="415" t="s">
        <v>577</v>
      </c>
      <c r="L193" s="415" t="s">
        <v>577</v>
      </c>
      <c r="M193" s="415" t="s">
        <v>70</v>
      </c>
      <c r="O193" s="420"/>
      <c r="Q193" s="405"/>
      <c r="R193" s="423"/>
      <c r="S193" s="400"/>
      <c r="T193" s="400"/>
      <c r="U193" s="400"/>
      <c r="V193" s="400"/>
      <c r="W193" s="400"/>
      <c r="X193" s="400"/>
      <c r="Y193" s="400"/>
      <c r="Z193" s="400"/>
      <c r="AA193" s="400"/>
      <c r="AB193" s="400"/>
      <c r="AC193" s="400"/>
      <c r="AD193" s="400"/>
      <c r="AE193" s="400"/>
      <c r="AF193" s="400"/>
      <c r="AG193" s="400"/>
      <c r="AH193" s="400"/>
      <c r="AI193" s="400"/>
      <c r="AJ193" s="400"/>
      <c r="AK193" s="400"/>
      <c r="AL193" s="400"/>
      <c r="AM193" s="400"/>
      <c r="AN193" s="400"/>
      <c r="AO193" s="400"/>
      <c r="AP193" s="400"/>
      <c r="AQ193" s="400"/>
      <c r="AR193" s="400"/>
      <c r="AS193" s="400"/>
      <c r="AT193" s="400"/>
      <c r="AU193" s="400"/>
      <c r="AV193" s="400"/>
      <c r="AW193" s="400"/>
      <c r="AX193" s="400"/>
      <c r="AY193" s="400"/>
      <c r="AZ193" s="400"/>
      <c r="BA193" s="400"/>
      <c r="BB193" s="400"/>
      <c r="BC193" s="400"/>
      <c r="BD193" s="400"/>
      <c r="BE193" s="400"/>
      <c r="BF193" s="400"/>
      <c r="BG193" s="400"/>
      <c r="BH193" s="400"/>
      <c r="BI193" s="400"/>
      <c r="BJ193" s="400"/>
      <c r="BK193" s="401"/>
    </row>
    <row r="194" spans="1:63" s="402" customFormat="1" ht="21" hidden="1" customHeight="1" x14ac:dyDescent="0.2">
      <c r="A194" s="435" t="s">
        <v>19</v>
      </c>
      <c r="B194" s="435">
        <v>101631</v>
      </c>
      <c r="C194" s="419" t="s">
        <v>20</v>
      </c>
      <c r="D194" s="419" t="s">
        <v>27</v>
      </c>
      <c r="E194" s="415" t="s">
        <v>22</v>
      </c>
      <c r="F194" s="415" t="s">
        <v>23</v>
      </c>
      <c r="G194" s="417">
        <v>46035</v>
      </c>
      <c r="H194" s="385" t="s">
        <v>578</v>
      </c>
      <c r="I194" s="418">
        <v>25057265</v>
      </c>
      <c r="J194" s="406" t="s">
        <v>579</v>
      </c>
      <c r="K194" s="415" t="s">
        <v>580</v>
      </c>
      <c r="L194" s="415" t="s">
        <v>580</v>
      </c>
      <c r="M194" s="415" t="s">
        <v>70</v>
      </c>
      <c r="O194" s="420"/>
      <c r="Q194" s="405"/>
      <c r="R194" s="423"/>
      <c r="S194" s="400"/>
      <c r="T194" s="400"/>
      <c r="U194" s="400"/>
      <c r="V194" s="400"/>
      <c r="W194" s="400"/>
      <c r="X194" s="400"/>
      <c r="Y194" s="400"/>
      <c r="Z194" s="400"/>
      <c r="AA194" s="400"/>
      <c r="AB194" s="400"/>
      <c r="AC194" s="400"/>
      <c r="AD194" s="400"/>
      <c r="AE194" s="400"/>
      <c r="AF194" s="400"/>
      <c r="AG194" s="400"/>
      <c r="AH194" s="400"/>
      <c r="AI194" s="400"/>
      <c r="AJ194" s="400"/>
      <c r="AK194" s="400"/>
      <c r="AL194" s="400"/>
      <c r="AM194" s="400"/>
      <c r="AN194" s="400"/>
      <c r="AO194" s="400"/>
      <c r="AP194" s="400"/>
      <c r="AQ194" s="400"/>
      <c r="AR194" s="400"/>
      <c r="AS194" s="400"/>
      <c r="AT194" s="400"/>
      <c r="AU194" s="400"/>
      <c r="AV194" s="400"/>
      <c r="AW194" s="400"/>
      <c r="AX194" s="400"/>
      <c r="AY194" s="400"/>
      <c r="AZ194" s="400"/>
      <c r="BA194" s="400"/>
      <c r="BB194" s="400"/>
      <c r="BC194" s="400"/>
      <c r="BD194" s="400"/>
      <c r="BE194" s="400"/>
      <c r="BF194" s="400"/>
      <c r="BG194" s="400"/>
      <c r="BH194" s="400"/>
      <c r="BI194" s="400"/>
      <c r="BJ194" s="400"/>
      <c r="BK194" s="401"/>
    </row>
    <row r="195" spans="1:63" s="402" customFormat="1" ht="21" hidden="1" customHeight="1" x14ac:dyDescent="0.2">
      <c r="A195" s="415" t="s">
        <v>19</v>
      </c>
      <c r="B195" s="415">
        <v>101625</v>
      </c>
      <c r="C195" s="419" t="s">
        <v>20</v>
      </c>
      <c r="D195" s="416" t="s">
        <v>187</v>
      </c>
      <c r="E195" s="415" t="s">
        <v>22</v>
      </c>
      <c r="F195" s="415" t="s">
        <v>23</v>
      </c>
      <c r="G195" s="417">
        <v>45670</v>
      </c>
      <c r="H195" s="385" t="s">
        <v>581</v>
      </c>
      <c r="I195" s="418">
        <v>25052802</v>
      </c>
      <c r="J195" s="436" t="s">
        <v>582</v>
      </c>
      <c r="K195" s="415" t="s">
        <v>583</v>
      </c>
      <c r="L195" s="415" t="s">
        <v>583</v>
      </c>
      <c r="M195" s="415" t="s">
        <v>70</v>
      </c>
      <c r="O195" s="420"/>
      <c r="Q195" s="405"/>
      <c r="R195" s="423"/>
      <c r="S195" s="400"/>
      <c r="T195" s="400"/>
      <c r="U195" s="400"/>
      <c r="V195" s="400"/>
      <c r="W195" s="400"/>
      <c r="X195" s="400"/>
      <c r="Y195" s="400"/>
      <c r="Z195" s="400"/>
      <c r="AA195" s="400"/>
      <c r="AB195" s="400"/>
      <c r="AC195" s="400"/>
      <c r="AD195" s="400"/>
      <c r="AE195" s="400"/>
      <c r="AF195" s="400"/>
      <c r="AG195" s="400"/>
      <c r="AH195" s="400"/>
      <c r="AI195" s="400"/>
      <c r="AJ195" s="400"/>
      <c r="AK195" s="400"/>
      <c r="AL195" s="400"/>
      <c r="AM195" s="400"/>
      <c r="AN195" s="400"/>
      <c r="AO195" s="400"/>
      <c r="AP195" s="400"/>
      <c r="AQ195" s="400"/>
      <c r="AR195" s="400"/>
      <c r="AS195" s="400"/>
      <c r="AT195" s="400"/>
      <c r="AU195" s="400"/>
      <c r="AV195" s="400"/>
      <c r="AW195" s="400"/>
      <c r="AX195" s="400"/>
      <c r="AY195" s="400"/>
      <c r="AZ195" s="400"/>
      <c r="BA195" s="400"/>
      <c r="BB195" s="400"/>
      <c r="BC195" s="400"/>
      <c r="BD195" s="400"/>
      <c r="BE195" s="400"/>
      <c r="BF195" s="400"/>
      <c r="BG195" s="400"/>
      <c r="BH195" s="400"/>
      <c r="BI195" s="400"/>
      <c r="BJ195" s="400"/>
      <c r="BK195" s="401"/>
    </row>
    <row r="196" spans="1:63" s="425" customFormat="1" ht="39" customHeight="1" x14ac:dyDescent="0.25">
      <c r="A196" s="425" t="s">
        <v>19</v>
      </c>
      <c r="B196" s="425">
        <v>101629</v>
      </c>
      <c r="C196" s="426" t="s">
        <v>20</v>
      </c>
      <c r="D196" s="426" t="s">
        <v>62</v>
      </c>
      <c r="E196" s="425" t="s">
        <v>22</v>
      </c>
      <c r="F196" s="425" t="s">
        <v>23</v>
      </c>
      <c r="G196" s="427">
        <v>46035</v>
      </c>
      <c r="H196" s="428" t="s">
        <v>584</v>
      </c>
      <c r="I196" s="429">
        <v>25011330</v>
      </c>
      <c r="J196" s="464" t="s">
        <v>585</v>
      </c>
      <c r="K196" s="425" t="s">
        <v>586</v>
      </c>
      <c r="L196" s="425" t="s">
        <v>586</v>
      </c>
      <c r="M196" s="435" t="s">
        <v>70</v>
      </c>
      <c r="N196" s="425" t="s">
        <v>587</v>
      </c>
      <c r="O196" s="426" t="s">
        <v>381</v>
      </c>
      <c r="Q196" s="430"/>
      <c r="R196" s="431" t="s">
        <v>588</v>
      </c>
      <c r="S196" s="432"/>
      <c r="T196" s="432"/>
      <c r="U196" s="432"/>
      <c r="V196" s="432"/>
      <c r="W196" s="432"/>
      <c r="X196" s="432"/>
      <c r="Y196" s="432"/>
      <c r="Z196" s="432"/>
      <c r="AA196" s="432"/>
      <c r="AB196" s="432"/>
      <c r="AC196" s="432"/>
      <c r="AD196" s="432"/>
      <c r="AE196" s="432"/>
      <c r="AF196" s="432"/>
      <c r="AG196" s="432"/>
      <c r="AH196" s="432"/>
      <c r="AI196" s="432"/>
      <c r="AJ196" s="432"/>
      <c r="AK196" s="432"/>
      <c r="AL196" s="432"/>
      <c r="AM196" s="432"/>
      <c r="AN196" s="432"/>
      <c r="AO196" s="432"/>
      <c r="AP196" s="432"/>
      <c r="AQ196" s="432"/>
      <c r="AR196" s="432"/>
      <c r="AS196" s="432"/>
      <c r="AT196" s="432"/>
      <c r="AU196" s="432"/>
      <c r="AV196" s="432"/>
      <c r="AW196" s="432"/>
      <c r="AX196" s="432"/>
      <c r="AY196" s="432"/>
      <c r="AZ196" s="432"/>
      <c r="BA196" s="432"/>
      <c r="BB196" s="432"/>
      <c r="BC196" s="432"/>
      <c r="BD196" s="432"/>
      <c r="BE196" s="432"/>
      <c r="BF196" s="432"/>
      <c r="BG196" s="432"/>
      <c r="BH196" s="432"/>
      <c r="BI196" s="432"/>
      <c r="BJ196" s="432"/>
      <c r="BK196" s="433"/>
    </row>
    <row r="197" spans="1:63" s="425" customFormat="1" ht="40.5" hidden="1" customHeight="1" x14ac:dyDescent="0.25">
      <c r="A197" s="435" t="s">
        <v>19</v>
      </c>
      <c r="B197" s="435">
        <v>101627</v>
      </c>
      <c r="C197" s="419" t="s">
        <v>20</v>
      </c>
      <c r="D197" s="419" t="s">
        <v>44</v>
      </c>
      <c r="E197" s="435" t="s">
        <v>22</v>
      </c>
      <c r="F197" s="435" t="s">
        <v>23</v>
      </c>
      <c r="G197" s="438">
        <v>46029</v>
      </c>
      <c r="H197" s="403" t="s">
        <v>589</v>
      </c>
      <c r="I197" s="448">
        <v>25057346</v>
      </c>
      <c r="J197" s="465" t="s">
        <v>590</v>
      </c>
      <c r="K197" s="435">
        <v>71982347727</v>
      </c>
      <c r="L197" s="435">
        <v>71982347727</v>
      </c>
      <c r="M197" s="435" t="s">
        <v>70</v>
      </c>
      <c r="N197" s="425" t="s">
        <v>587</v>
      </c>
      <c r="O197" s="426" t="s">
        <v>591</v>
      </c>
      <c r="Q197" s="430"/>
      <c r="R197" s="466" t="s">
        <v>592</v>
      </c>
      <c r="S197" s="432"/>
      <c r="T197" s="432"/>
      <c r="U197" s="432"/>
      <c r="V197" s="432"/>
      <c r="W197" s="432"/>
      <c r="X197" s="432"/>
      <c r="Y197" s="432"/>
      <c r="Z197" s="432"/>
      <c r="AA197" s="432"/>
      <c r="AB197" s="432"/>
      <c r="AC197" s="432"/>
      <c r="AD197" s="432"/>
      <c r="AE197" s="432"/>
      <c r="AF197" s="432"/>
      <c r="AG197" s="432"/>
      <c r="AH197" s="432"/>
      <c r="AI197" s="432"/>
      <c r="AJ197" s="432"/>
      <c r="AK197" s="432"/>
      <c r="AL197" s="432"/>
      <c r="AM197" s="432"/>
      <c r="AN197" s="432"/>
      <c r="AO197" s="432"/>
      <c r="AP197" s="432"/>
      <c r="AQ197" s="432"/>
      <c r="AR197" s="432"/>
      <c r="AS197" s="432"/>
      <c r="AT197" s="432"/>
      <c r="AU197" s="432"/>
      <c r="AV197" s="432"/>
      <c r="AW197" s="432"/>
      <c r="AX197" s="432"/>
      <c r="AY197" s="432"/>
      <c r="AZ197" s="432"/>
      <c r="BA197" s="432"/>
      <c r="BB197" s="432"/>
      <c r="BC197" s="432"/>
      <c r="BD197" s="432"/>
      <c r="BE197" s="432"/>
      <c r="BF197" s="432"/>
      <c r="BG197" s="432"/>
      <c r="BH197" s="432"/>
      <c r="BI197" s="432"/>
      <c r="BJ197" s="432"/>
      <c r="BK197" s="433"/>
    </row>
    <row r="198" spans="1:63" s="383" customFormat="1" ht="39.75" hidden="1" customHeight="1" x14ac:dyDescent="0.2">
      <c r="A198" s="383" t="s">
        <v>19</v>
      </c>
      <c r="B198" s="383">
        <v>101627</v>
      </c>
      <c r="C198" s="389" t="s">
        <v>20</v>
      </c>
      <c r="D198" s="389" t="s">
        <v>44</v>
      </c>
      <c r="E198" s="383" t="s">
        <v>22</v>
      </c>
      <c r="F198" s="383" t="s">
        <v>23</v>
      </c>
      <c r="G198" s="395">
        <v>46027</v>
      </c>
      <c r="H198" s="404" t="s">
        <v>593</v>
      </c>
      <c r="I198" s="408">
        <v>25035045</v>
      </c>
      <c r="J198" s="451" t="s">
        <v>594</v>
      </c>
      <c r="K198" s="383">
        <v>71991542535</v>
      </c>
      <c r="L198" s="383">
        <v>71991542535</v>
      </c>
      <c r="M198" s="383" t="s">
        <v>70</v>
      </c>
      <c r="O198" s="389" t="s">
        <v>595</v>
      </c>
      <c r="Q198" s="467"/>
      <c r="R198" s="441" t="s">
        <v>596</v>
      </c>
      <c r="S198" s="453"/>
      <c r="T198" s="453"/>
      <c r="U198" s="453"/>
      <c r="V198" s="453"/>
      <c r="W198" s="453"/>
      <c r="X198" s="453"/>
      <c r="Y198" s="453"/>
      <c r="Z198" s="453"/>
      <c r="AA198" s="453"/>
      <c r="AB198" s="453"/>
      <c r="AC198" s="453"/>
      <c r="AD198" s="453"/>
      <c r="AE198" s="453"/>
      <c r="AF198" s="453"/>
      <c r="AG198" s="453"/>
      <c r="AH198" s="453"/>
      <c r="AI198" s="453"/>
      <c r="AJ198" s="453"/>
      <c r="AK198" s="453"/>
      <c r="AL198" s="453"/>
      <c r="AM198" s="453"/>
      <c r="AN198" s="453"/>
      <c r="AO198" s="453"/>
      <c r="AP198" s="453"/>
      <c r="AQ198" s="453"/>
      <c r="AR198" s="453"/>
      <c r="AS198" s="453"/>
      <c r="AT198" s="453"/>
      <c r="AU198" s="453"/>
      <c r="AV198" s="453"/>
      <c r="AW198" s="453"/>
      <c r="AX198" s="453"/>
      <c r="AY198" s="453"/>
      <c r="AZ198" s="453"/>
      <c r="BA198" s="453"/>
      <c r="BB198" s="453"/>
      <c r="BC198" s="453"/>
      <c r="BD198" s="453"/>
      <c r="BE198" s="453"/>
      <c r="BF198" s="453"/>
      <c r="BG198" s="453"/>
      <c r="BH198" s="453"/>
      <c r="BI198" s="453"/>
      <c r="BJ198" s="453"/>
      <c r="BK198" s="454"/>
    </row>
    <row r="199" spans="1:63" s="425" customFormat="1" ht="21" hidden="1" customHeight="1" x14ac:dyDescent="0.25">
      <c r="A199" s="435" t="s">
        <v>19</v>
      </c>
      <c r="B199" s="435">
        <v>101631</v>
      </c>
      <c r="C199" s="419" t="s">
        <v>20</v>
      </c>
      <c r="D199" s="419" t="s">
        <v>27</v>
      </c>
      <c r="E199" s="435" t="s">
        <v>22</v>
      </c>
      <c r="F199" s="435" t="s">
        <v>23</v>
      </c>
      <c r="G199" s="438">
        <v>46035</v>
      </c>
      <c r="H199" s="403" t="s">
        <v>597</v>
      </c>
      <c r="I199" s="448">
        <v>25056758</v>
      </c>
      <c r="J199" s="435" t="s">
        <v>598</v>
      </c>
      <c r="K199" s="435">
        <v>71992712368</v>
      </c>
      <c r="L199" s="435">
        <v>71992712368</v>
      </c>
      <c r="M199" s="435" t="s">
        <v>70</v>
      </c>
      <c r="O199" s="426"/>
      <c r="Q199" s="430"/>
      <c r="R199" s="468"/>
      <c r="S199" s="432"/>
      <c r="T199" s="432"/>
      <c r="U199" s="432"/>
      <c r="V199" s="432"/>
      <c r="W199" s="432"/>
      <c r="X199" s="432"/>
      <c r="Y199" s="432"/>
      <c r="Z199" s="432"/>
      <c r="AA199" s="432"/>
      <c r="AB199" s="432"/>
      <c r="AC199" s="432"/>
      <c r="AD199" s="432"/>
      <c r="AE199" s="432"/>
      <c r="AF199" s="432"/>
      <c r="AG199" s="432"/>
      <c r="AH199" s="432"/>
      <c r="AI199" s="432"/>
      <c r="AJ199" s="432"/>
      <c r="AK199" s="432"/>
      <c r="AL199" s="432"/>
      <c r="AM199" s="432"/>
      <c r="AN199" s="432"/>
      <c r="AO199" s="432"/>
      <c r="AP199" s="432"/>
      <c r="AQ199" s="432"/>
      <c r="AR199" s="432"/>
      <c r="AS199" s="432"/>
      <c r="AT199" s="432"/>
      <c r="AU199" s="432"/>
      <c r="AV199" s="432"/>
      <c r="AW199" s="432"/>
      <c r="AX199" s="432"/>
      <c r="AY199" s="432"/>
      <c r="AZ199" s="432"/>
      <c r="BA199" s="432"/>
      <c r="BB199" s="432"/>
      <c r="BC199" s="432"/>
      <c r="BD199" s="432"/>
      <c r="BE199" s="432"/>
      <c r="BF199" s="432"/>
      <c r="BG199" s="432"/>
      <c r="BH199" s="432"/>
      <c r="BI199" s="432"/>
      <c r="BJ199" s="432"/>
      <c r="BK199" s="433"/>
    </row>
    <row r="200" spans="1:63" s="425" customFormat="1" ht="21" hidden="1" customHeight="1" x14ac:dyDescent="0.25">
      <c r="A200" s="435" t="s">
        <v>19</v>
      </c>
      <c r="B200" s="435">
        <v>101630</v>
      </c>
      <c r="C200" s="419" t="s">
        <v>20</v>
      </c>
      <c r="D200" s="419" t="s">
        <v>40</v>
      </c>
      <c r="E200" s="435" t="s">
        <v>22</v>
      </c>
      <c r="F200" s="435" t="s">
        <v>23</v>
      </c>
      <c r="G200" s="438">
        <v>46031</v>
      </c>
      <c r="H200" s="403" t="s">
        <v>599</v>
      </c>
      <c r="I200" s="448">
        <v>232944879</v>
      </c>
      <c r="J200" s="435" t="s">
        <v>600</v>
      </c>
      <c r="K200" s="435">
        <v>71982869082</v>
      </c>
      <c r="L200" s="435">
        <v>71982869082</v>
      </c>
      <c r="M200" s="435" t="s">
        <v>70</v>
      </c>
      <c r="O200" s="426"/>
      <c r="Q200" s="430"/>
      <c r="R200" s="431"/>
      <c r="S200" s="432"/>
      <c r="T200" s="432"/>
      <c r="U200" s="432"/>
      <c r="V200" s="432"/>
      <c r="W200" s="432"/>
      <c r="X200" s="432"/>
      <c r="Y200" s="432"/>
      <c r="Z200" s="432"/>
      <c r="AA200" s="432"/>
      <c r="AB200" s="432"/>
      <c r="AC200" s="432"/>
      <c r="AD200" s="432"/>
      <c r="AE200" s="432"/>
      <c r="AF200" s="432"/>
      <c r="AG200" s="432"/>
      <c r="AH200" s="432"/>
      <c r="AI200" s="432"/>
      <c r="AJ200" s="432"/>
      <c r="AK200" s="432"/>
      <c r="AL200" s="432"/>
      <c r="AM200" s="432"/>
      <c r="AN200" s="432"/>
      <c r="AO200" s="432"/>
      <c r="AP200" s="432"/>
      <c r="AQ200" s="432"/>
      <c r="AR200" s="432"/>
      <c r="AS200" s="432"/>
      <c r="AT200" s="432"/>
      <c r="AU200" s="432"/>
      <c r="AV200" s="432"/>
      <c r="AW200" s="432"/>
      <c r="AX200" s="432"/>
      <c r="AY200" s="432"/>
      <c r="AZ200" s="432"/>
      <c r="BA200" s="432"/>
      <c r="BB200" s="432"/>
      <c r="BC200" s="432"/>
      <c r="BD200" s="432"/>
      <c r="BE200" s="432"/>
      <c r="BF200" s="432"/>
      <c r="BG200" s="432"/>
      <c r="BH200" s="432"/>
      <c r="BI200" s="432"/>
      <c r="BJ200" s="432"/>
      <c r="BK200" s="433"/>
    </row>
    <row r="201" spans="1:63" s="425" customFormat="1" ht="21" hidden="1" customHeight="1" x14ac:dyDescent="0.25">
      <c r="A201" s="435" t="s">
        <v>19</v>
      </c>
      <c r="B201" s="435">
        <v>101630</v>
      </c>
      <c r="C201" s="419" t="s">
        <v>20</v>
      </c>
      <c r="D201" s="419" t="s">
        <v>40</v>
      </c>
      <c r="E201" s="435" t="s">
        <v>22</v>
      </c>
      <c r="F201" s="435" t="s">
        <v>23</v>
      </c>
      <c r="G201" s="438">
        <v>46034</v>
      </c>
      <c r="H201" s="403" t="s">
        <v>601</v>
      </c>
      <c r="I201" s="448">
        <v>25057928</v>
      </c>
      <c r="J201" s="435" t="s">
        <v>602</v>
      </c>
      <c r="K201" s="435">
        <v>71981959951</v>
      </c>
      <c r="L201" s="435">
        <v>71981959951</v>
      </c>
      <c r="M201" s="435" t="s">
        <v>70</v>
      </c>
      <c r="O201" s="426"/>
      <c r="Q201" s="430"/>
      <c r="R201" s="431"/>
      <c r="S201" s="432"/>
      <c r="T201" s="432"/>
      <c r="U201" s="432"/>
      <c r="V201" s="432"/>
      <c r="W201" s="432"/>
      <c r="X201" s="432"/>
      <c r="Y201" s="432"/>
      <c r="Z201" s="432"/>
      <c r="AA201" s="432"/>
      <c r="AB201" s="432"/>
      <c r="AC201" s="432"/>
      <c r="AD201" s="432"/>
      <c r="AE201" s="432"/>
      <c r="AF201" s="432"/>
      <c r="AG201" s="432"/>
      <c r="AH201" s="432"/>
      <c r="AI201" s="432"/>
      <c r="AJ201" s="432"/>
      <c r="AK201" s="432"/>
      <c r="AL201" s="432"/>
      <c r="AM201" s="432"/>
      <c r="AN201" s="432"/>
      <c r="AO201" s="432"/>
      <c r="AP201" s="432"/>
      <c r="AQ201" s="432"/>
      <c r="AR201" s="432"/>
      <c r="AS201" s="432"/>
      <c r="AT201" s="432"/>
      <c r="AU201" s="432"/>
      <c r="AV201" s="432"/>
      <c r="AW201" s="432"/>
      <c r="AX201" s="432"/>
      <c r="AY201" s="432"/>
      <c r="AZ201" s="432"/>
      <c r="BA201" s="432"/>
      <c r="BB201" s="432"/>
      <c r="BC201" s="432"/>
      <c r="BD201" s="432"/>
      <c r="BE201" s="432"/>
      <c r="BF201" s="432"/>
      <c r="BG201" s="432"/>
      <c r="BH201" s="432"/>
      <c r="BI201" s="432"/>
      <c r="BJ201" s="432"/>
      <c r="BK201" s="433"/>
    </row>
    <row r="202" spans="1:63" s="425" customFormat="1" ht="21" hidden="1" customHeight="1" x14ac:dyDescent="0.25">
      <c r="A202" s="435" t="s">
        <v>19</v>
      </c>
      <c r="B202" s="435">
        <v>101626</v>
      </c>
      <c r="C202" s="419" t="s">
        <v>20</v>
      </c>
      <c r="D202" s="419" t="s">
        <v>21</v>
      </c>
      <c r="E202" s="435" t="s">
        <v>22</v>
      </c>
      <c r="F202" s="435" t="s">
        <v>23</v>
      </c>
      <c r="G202" s="438">
        <v>45671</v>
      </c>
      <c r="H202" s="403" t="s">
        <v>603</v>
      </c>
      <c r="I202" s="448">
        <v>25057704</v>
      </c>
      <c r="J202" s="465" t="s">
        <v>604</v>
      </c>
      <c r="K202" s="435" t="s">
        <v>605</v>
      </c>
      <c r="L202" s="435" t="s">
        <v>605</v>
      </c>
      <c r="M202" s="435" t="s">
        <v>70</v>
      </c>
      <c r="O202" s="426"/>
      <c r="Q202" s="430"/>
      <c r="R202" s="431"/>
      <c r="S202" s="432"/>
      <c r="T202" s="432"/>
      <c r="U202" s="432"/>
      <c r="V202" s="432"/>
      <c r="W202" s="432"/>
      <c r="X202" s="432"/>
      <c r="Y202" s="432"/>
      <c r="Z202" s="432"/>
      <c r="AA202" s="432"/>
      <c r="AB202" s="432"/>
      <c r="AC202" s="432"/>
      <c r="AD202" s="432"/>
      <c r="AE202" s="432"/>
      <c r="AF202" s="432"/>
      <c r="AG202" s="432"/>
      <c r="AH202" s="432"/>
      <c r="AI202" s="432"/>
      <c r="AJ202" s="432"/>
      <c r="AK202" s="432"/>
      <c r="AL202" s="432"/>
      <c r="AM202" s="432"/>
      <c r="AN202" s="432"/>
      <c r="AO202" s="432"/>
      <c r="AP202" s="432"/>
      <c r="AQ202" s="432"/>
      <c r="AR202" s="432"/>
      <c r="AS202" s="432"/>
      <c r="AT202" s="432"/>
      <c r="AU202" s="432"/>
      <c r="AV202" s="432"/>
      <c r="AW202" s="432"/>
      <c r="AX202" s="432"/>
      <c r="AY202" s="432"/>
      <c r="AZ202" s="432"/>
      <c r="BA202" s="432"/>
      <c r="BB202" s="432"/>
      <c r="BC202" s="432"/>
      <c r="BD202" s="432"/>
      <c r="BE202" s="432"/>
      <c r="BF202" s="432"/>
      <c r="BG202" s="432"/>
      <c r="BH202" s="432"/>
      <c r="BI202" s="432"/>
      <c r="BJ202" s="432"/>
      <c r="BK202" s="433"/>
    </row>
    <row r="203" spans="1:63" s="383" customFormat="1" ht="50.25" hidden="1" customHeight="1" x14ac:dyDescent="0.25">
      <c r="A203" s="383" t="s">
        <v>19</v>
      </c>
      <c r="B203" s="383">
        <v>101626</v>
      </c>
      <c r="C203" s="389" t="s">
        <v>20</v>
      </c>
      <c r="D203" s="389" t="s">
        <v>21</v>
      </c>
      <c r="E203" s="383" t="s">
        <v>22</v>
      </c>
      <c r="F203" s="383" t="s">
        <v>23</v>
      </c>
      <c r="G203" s="395">
        <v>46036</v>
      </c>
      <c r="H203" s="404" t="s">
        <v>606</v>
      </c>
      <c r="I203" s="408">
        <v>25058458</v>
      </c>
      <c r="J203" s="469" t="s">
        <v>607</v>
      </c>
      <c r="K203" s="383" t="s">
        <v>608</v>
      </c>
      <c r="L203" s="383" t="s">
        <v>608</v>
      </c>
      <c r="M203" s="383" t="s">
        <v>70</v>
      </c>
      <c r="O203" s="389"/>
      <c r="Q203" s="467"/>
      <c r="R203" s="452" t="s">
        <v>609</v>
      </c>
      <c r="S203" s="453"/>
      <c r="T203" s="453"/>
      <c r="U203" s="453"/>
      <c r="V203" s="453"/>
      <c r="W203" s="453"/>
      <c r="X203" s="453"/>
      <c r="Y203" s="453"/>
      <c r="Z203" s="453"/>
      <c r="AA203" s="453"/>
      <c r="AB203" s="453"/>
      <c r="AC203" s="453"/>
      <c r="AD203" s="453"/>
      <c r="AE203" s="453"/>
      <c r="AF203" s="453"/>
      <c r="AG203" s="453"/>
      <c r="AH203" s="453"/>
      <c r="AI203" s="453"/>
      <c r="AJ203" s="453"/>
      <c r="AK203" s="453"/>
      <c r="AL203" s="453"/>
      <c r="AM203" s="453"/>
      <c r="AN203" s="453"/>
      <c r="AO203" s="453"/>
      <c r="AP203" s="453"/>
      <c r="AQ203" s="453"/>
      <c r="AR203" s="453"/>
      <c r="AS203" s="453"/>
      <c r="AT203" s="453"/>
      <c r="AU203" s="453"/>
      <c r="AV203" s="453"/>
      <c r="AW203" s="453"/>
      <c r="AX203" s="453"/>
      <c r="AY203" s="453"/>
      <c r="AZ203" s="453"/>
      <c r="BA203" s="453"/>
      <c r="BB203" s="453"/>
      <c r="BC203" s="453"/>
      <c r="BD203" s="453"/>
      <c r="BE203" s="453"/>
      <c r="BF203" s="453"/>
      <c r="BG203" s="453"/>
      <c r="BH203" s="453"/>
      <c r="BI203" s="453"/>
      <c r="BJ203" s="453"/>
      <c r="BK203" s="454"/>
    </row>
    <row r="204" spans="1:63" s="383" customFormat="1" ht="21" hidden="1" customHeight="1" x14ac:dyDescent="0.25">
      <c r="A204" s="383" t="s">
        <v>19</v>
      </c>
      <c r="B204" s="383">
        <v>101631</v>
      </c>
      <c r="C204" s="389" t="s">
        <v>20</v>
      </c>
      <c r="D204" s="389" t="s">
        <v>27</v>
      </c>
      <c r="E204" s="383" t="s">
        <v>22</v>
      </c>
      <c r="F204" s="383" t="s">
        <v>23</v>
      </c>
      <c r="G204" s="395">
        <v>46037</v>
      </c>
      <c r="H204" s="404" t="s">
        <v>610</v>
      </c>
      <c r="I204" s="408">
        <v>25053932</v>
      </c>
      <c r="J204" s="469" t="s">
        <v>611</v>
      </c>
      <c r="K204" s="383" t="s">
        <v>612</v>
      </c>
      <c r="L204" s="383" t="s">
        <v>612</v>
      </c>
      <c r="M204" s="383" t="s">
        <v>70</v>
      </c>
      <c r="O204" s="389" t="s">
        <v>397</v>
      </c>
      <c r="Q204" s="467"/>
      <c r="R204" s="452"/>
      <c r="S204" s="453"/>
      <c r="T204" s="453"/>
      <c r="U204" s="453"/>
      <c r="V204" s="453"/>
      <c r="W204" s="453"/>
      <c r="X204" s="453"/>
      <c r="Y204" s="453"/>
      <c r="Z204" s="453"/>
      <c r="AA204" s="453"/>
      <c r="AB204" s="453"/>
      <c r="AC204" s="453"/>
      <c r="AD204" s="453"/>
      <c r="AE204" s="453"/>
      <c r="AF204" s="453"/>
      <c r="AG204" s="453"/>
      <c r="AH204" s="453"/>
      <c r="AI204" s="453"/>
      <c r="AJ204" s="453"/>
      <c r="AK204" s="453"/>
      <c r="AL204" s="453"/>
      <c r="AM204" s="453"/>
      <c r="AN204" s="453"/>
      <c r="AO204" s="453"/>
      <c r="AP204" s="453"/>
      <c r="AQ204" s="453"/>
      <c r="AR204" s="453"/>
      <c r="AS204" s="453"/>
      <c r="AT204" s="453"/>
      <c r="AU204" s="453"/>
      <c r="AV204" s="453"/>
      <c r="AW204" s="453"/>
      <c r="AX204" s="453"/>
      <c r="AY204" s="453"/>
      <c r="AZ204" s="453"/>
      <c r="BA204" s="453"/>
      <c r="BB204" s="453"/>
      <c r="BC204" s="453"/>
      <c r="BD204" s="453"/>
      <c r="BE204" s="453"/>
      <c r="BF204" s="453"/>
      <c r="BG204" s="453"/>
      <c r="BH204" s="453"/>
      <c r="BI204" s="453"/>
      <c r="BJ204" s="453"/>
      <c r="BK204" s="454"/>
    </row>
    <row r="205" spans="1:63" s="425" customFormat="1" ht="21" hidden="1" customHeight="1" x14ac:dyDescent="0.25">
      <c r="A205" s="435" t="s">
        <v>19</v>
      </c>
      <c r="B205" s="435">
        <v>101630</v>
      </c>
      <c r="C205" s="419" t="s">
        <v>20</v>
      </c>
      <c r="D205" s="419" t="s">
        <v>40</v>
      </c>
      <c r="E205" s="435" t="s">
        <v>22</v>
      </c>
      <c r="F205" s="435" t="s">
        <v>23</v>
      </c>
      <c r="G205" s="438">
        <v>46038</v>
      </c>
      <c r="H205" s="403" t="s">
        <v>613</v>
      </c>
      <c r="I205" s="448">
        <v>25058777</v>
      </c>
      <c r="J205" s="449" t="s">
        <v>614</v>
      </c>
      <c r="K205" s="435" t="s">
        <v>615</v>
      </c>
      <c r="L205" s="435" t="s">
        <v>615</v>
      </c>
      <c r="M205" s="435" t="s">
        <v>70</v>
      </c>
      <c r="O205" s="426"/>
      <c r="Q205" s="430"/>
      <c r="R205" s="431"/>
      <c r="S205" s="432"/>
      <c r="T205" s="432"/>
      <c r="U205" s="432"/>
      <c r="V205" s="432"/>
      <c r="W205" s="432"/>
      <c r="X205" s="432"/>
      <c r="Y205" s="432"/>
      <c r="Z205" s="432"/>
      <c r="AA205" s="432"/>
      <c r="AB205" s="432"/>
      <c r="AC205" s="432"/>
      <c r="AD205" s="432"/>
      <c r="AE205" s="432"/>
      <c r="AF205" s="432"/>
      <c r="AG205" s="432"/>
      <c r="AH205" s="432"/>
      <c r="AI205" s="432"/>
      <c r="AJ205" s="432"/>
      <c r="AK205" s="432"/>
      <c r="AL205" s="432"/>
      <c r="AM205" s="432"/>
      <c r="AN205" s="432"/>
      <c r="AO205" s="432"/>
      <c r="AP205" s="432"/>
      <c r="AQ205" s="432"/>
      <c r="AR205" s="432"/>
      <c r="AS205" s="432"/>
      <c r="AT205" s="432"/>
      <c r="AU205" s="432"/>
      <c r="AV205" s="432"/>
      <c r="AW205" s="432"/>
      <c r="AX205" s="432"/>
      <c r="AY205" s="432"/>
      <c r="AZ205" s="432"/>
      <c r="BA205" s="432"/>
      <c r="BB205" s="432"/>
      <c r="BC205" s="432"/>
      <c r="BD205" s="432"/>
      <c r="BE205" s="432"/>
      <c r="BF205" s="432"/>
      <c r="BG205" s="432"/>
      <c r="BH205" s="432"/>
      <c r="BI205" s="432"/>
      <c r="BJ205" s="432"/>
      <c r="BK205" s="433"/>
    </row>
    <row r="206" spans="1:63" s="425" customFormat="1" ht="21" hidden="1" customHeight="1" x14ac:dyDescent="0.2">
      <c r="A206" s="425" t="s">
        <v>19</v>
      </c>
      <c r="B206" s="425">
        <v>101625</v>
      </c>
      <c r="C206" s="426" t="s">
        <v>20</v>
      </c>
      <c r="D206" s="426" t="s">
        <v>187</v>
      </c>
      <c r="E206" s="425" t="s">
        <v>22</v>
      </c>
      <c r="F206" s="425" t="s">
        <v>23</v>
      </c>
      <c r="H206" s="428" t="s">
        <v>616</v>
      </c>
      <c r="I206" s="429">
        <v>25056946</v>
      </c>
      <c r="J206" s="463" t="s">
        <v>617</v>
      </c>
      <c r="K206" s="425" t="s">
        <v>618</v>
      </c>
      <c r="L206" s="425" t="s">
        <v>618</v>
      </c>
      <c r="M206" s="425" t="s">
        <v>70</v>
      </c>
      <c r="O206" s="426" t="s">
        <v>236</v>
      </c>
      <c r="Q206" s="430"/>
      <c r="R206" s="470" t="s">
        <v>596</v>
      </c>
      <c r="S206" s="432"/>
      <c r="T206" s="432"/>
      <c r="U206" s="432"/>
      <c r="V206" s="432"/>
      <c r="W206" s="432"/>
      <c r="X206" s="432"/>
      <c r="Y206" s="432"/>
      <c r="Z206" s="432"/>
      <c r="AA206" s="432"/>
      <c r="AB206" s="432"/>
      <c r="AC206" s="432"/>
      <c r="AD206" s="432"/>
      <c r="AE206" s="432"/>
      <c r="AF206" s="432"/>
      <c r="AG206" s="432"/>
      <c r="AH206" s="432"/>
      <c r="AI206" s="432"/>
      <c r="AJ206" s="432"/>
      <c r="AK206" s="432"/>
      <c r="AL206" s="432"/>
      <c r="AM206" s="432"/>
      <c r="AN206" s="432"/>
      <c r="AO206" s="432"/>
      <c r="AP206" s="432"/>
      <c r="AQ206" s="432"/>
      <c r="AR206" s="432"/>
      <c r="AS206" s="432"/>
      <c r="AT206" s="432"/>
      <c r="AU206" s="432"/>
      <c r="AV206" s="432"/>
      <c r="AW206" s="432"/>
      <c r="AX206" s="432"/>
      <c r="AY206" s="432"/>
      <c r="AZ206" s="432"/>
      <c r="BA206" s="432"/>
      <c r="BB206" s="432"/>
      <c r="BC206" s="432"/>
      <c r="BD206" s="432"/>
      <c r="BE206" s="432"/>
      <c r="BF206" s="432"/>
      <c r="BG206" s="432"/>
      <c r="BH206" s="432"/>
      <c r="BI206" s="432"/>
      <c r="BJ206" s="432"/>
      <c r="BK206" s="433"/>
    </row>
    <row r="207" spans="1:63" s="383" customFormat="1" ht="21" hidden="1" customHeight="1" x14ac:dyDescent="0.25">
      <c r="A207" s="383" t="s">
        <v>19</v>
      </c>
      <c r="B207" s="383">
        <v>101625</v>
      </c>
      <c r="C207" s="389" t="s">
        <v>20</v>
      </c>
      <c r="D207" s="389" t="s">
        <v>187</v>
      </c>
      <c r="E207" s="383" t="s">
        <v>22</v>
      </c>
      <c r="F207" s="383" t="s">
        <v>23</v>
      </c>
      <c r="G207" s="395">
        <v>46036</v>
      </c>
      <c r="H207" s="404" t="s">
        <v>619</v>
      </c>
      <c r="I207" s="408">
        <v>25058510</v>
      </c>
      <c r="J207" s="383" t="s">
        <v>620</v>
      </c>
      <c r="K207" s="383">
        <v>71986674890</v>
      </c>
      <c r="L207" s="383">
        <v>71986674890</v>
      </c>
      <c r="O207" s="389"/>
      <c r="Q207" s="467"/>
      <c r="R207" s="452"/>
      <c r="S207" s="453"/>
      <c r="T207" s="453"/>
      <c r="U207" s="453"/>
      <c r="V207" s="453"/>
      <c r="W207" s="453"/>
      <c r="X207" s="453"/>
      <c r="Y207" s="453"/>
      <c r="Z207" s="453"/>
      <c r="AA207" s="453"/>
      <c r="AB207" s="453"/>
      <c r="AC207" s="453"/>
      <c r="AD207" s="453"/>
      <c r="AE207" s="453"/>
      <c r="AF207" s="453"/>
      <c r="AG207" s="453"/>
      <c r="AH207" s="453"/>
      <c r="AI207" s="453"/>
      <c r="AJ207" s="453"/>
      <c r="AK207" s="453"/>
      <c r="AL207" s="453"/>
      <c r="AM207" s="453"/>
      <c r="AN207" s="453"/>
      <c r="AO207" s="453"/>
      <c r="AP207" s="453"/>
      <c r="AQ207" s="453"/>
      <c r="AR207" s="453"/>
      <c r="AS207" s="453"/>
      <c r="AT207" s="453"/>
      <c r="AU207" s="453"/>
      <c r="AV207" s="453"/>
      <c r="AW207" s="453"/>
      <c r="AX207" s="453"/>
      <c r="AY207" s="453"/>
      <c r="AZ207" s="453"/>
      <c r="BA207" s="453"/>
      <c r="BB207" s="453"/>
      <c r="BC207" s="453"/>
      <c r="BD207" s="453"/>
      <c r="BE207" s="453"/>
      <c r="BF207" s="453"/>
      <c r="BG207" s="453"/>
      <c r="BH207" s="453"/>
      <c r="BI207" s="453"/>
      <c r="BJ207" s="453"/>
      <c r="BK207" s="454"/>
    </row>
    <row r="208" spans="1:63" ht="27.75" hidden="1" customHeight="1" x14ac:dyDescent="0.25">
      <c r="A208" s="546" t="s">
        <v>19</v>
      </c>
      <c r="B208" s="546">
        <v>101628</v>
      </c>
      <c r="C208" s="547" t="s">
        <v>20</v>
      </c>
      <c r="D208" s="547" t="s">
        <v>252</v>
      </c>
      <c r="E208" s="546" t="s">
        <v>22</v>
      </c>
      <c r="F208" s="546" t="s">
        <v>23</v>
      </c>
      <c r="G208" s="548">
        <v>46038</v>
      </c>
      <c r="H208" s="549" t="s">
        <v>621</v>
      </c>
      <c r="I208" s="550">
        <v>25059270</v>
      </c>
      <c r="J208" s="551" t="s">
        <v>622</v>
      </c>
      <c r="K208" s="546">
        <v>71996663813</v>
      </c>
      <c r="L208" s="546">
        <v>71996663813</v>
      </c>
      <c r="M208" s="546" t="s">
        <v>333</v>
      </c>
      <c r="O208" s="547" t="s">
        <v>75</v>
      </c>
      <c r="R208" s="553" t="s">
        <v>623</v>
      </c>
    </row>
    <row r="209" spans="1:63" s="425" customFormat="1" ht="21" hidden="1" customHeight="1" x14ac:dyDescent="0.25">
      <c r="A209" s="435" t="s">
        <v>19</v>
      </c>
      <c r="B209" s="435">
        <v>101622</v>
      </c>
      <c r="C209" s="419" t="s">
        <v>20</v>
      </c>
      <c r="D209" s="419" t="s">
        <v>31</v>
      </c>
      <c r="E209" s="435" t="s">
        <v>32</v>
      </c>
      <c r="F209" s="435" t="s">
        <v>23</v>
      </c>
      <c r="G209" s="438">
        <v>46038</v>
      </c>
      <c r="H209" s="403" t="s">
        <v>624</v>
      </c>
      <c r="I209" s="448">
        <v>25059321</v>
      </c>
      <c r="J209" s="435" t="s">
        <v>625</v>
      </c>
      <c r="K209" s="435">
        <v>71996239641</v>
      </c>
      <c r="L209" s="435">
        <v>71996239641</v>
      </c>
      <c r="M209" s="435" t="s">
        <v>70</v>
      </c>
      <c r="O209" s="426"/>
      <c r="P209" s="425" t="s">
        <v>97</v>
      </c>
      <c r="Q209" s="430"/>
      <c r="R209" s="466"/>
      <c r="S209" s="432" t="s">
        <v>97</v>
      </c>
      <c r="T209" s="432"/>
      <c r="U209" s="432"/>
      <c r="V209" s="432"/>
      <c r="W209" s="432"/>
      <c r="X209" s="432"/>
      <c r="Y209" s="432"/>
      <c r="Z209" s="432"/>
      <c r="AA209" s="432"/>
      <c r="AB209" s="432"/>
      <c r="AC209" s="432"/>
      <c r="AD209" s="432"/>
      <c r="AE209" s="432"/>
      <c r="AF209" s="432"/>
      <c r="AG209" s="432"/>
      <c r="AH209" s="432"/>
      <c r="AI209" s="432"/>
      <c r="AJ209" s="432"/>
      <c r="AK209" s="432"/>
      <c r="AL209" s="432"/>
      <c r="AM209" s="432"/>
      <c r="AN209" s="432"/>
      <c r="AO209" s="432"/>
      <c r="AP209" s="432"/>
      <c r="AQ209" s="432"/>
      <c r="AR209" s="432"/>
      <c r="AS209" s="432"/>
      <c r="AT209" s="432"/>
      <c r="AU209" s="432"/>
      <c r="AV209" s="432"/>
      <c r="AW209" s="432"/>
      <c r="AX209" s="432"/>
      <c r="AY209" s="432"/>
      <c r="AZ209" s="432"/>
      <c r="BA209" s="432"/>
      <c r="BB209" s="432"/>
      <c r="BC209" s="432"/>
      <c r="BD209" s="432"/>
      <c r="BE209" s="432"/>
      <c r="BF209" s="432"/>
      <c r="BG209" s="432"/>
      <c r="BH209" s="432"/>
      <c r="BI209" s="432"/>
      <c r="BJ209" s="432"/>
      <c r="BK209" s="433"/>
    </row>
    <row r="210" spans="1:63" s="425" customFormat="1" ht="21" hidden="1" customHeight="1" x14ac:dyDescent="0.2">
      <c r="A210" s="425" t="s">
        <v>19</v>
      </c>
      <c r="B210" s="425">
        <v>101625</v>
      </c>
      <c r="C210" s="426" t="s">
        <v>20</v>
      </c>
      <c r="D210" s="426" t="s">
        <v>187</v>
      </c>
      <c r="E210" s="425" t="s">
        <v>22</v>
      </c>
      <c r="F210" s="425" t="s">
        <v>23</v>
      </c>
      <c r="G210" s="425">
        <v>17012026</v>
      </c>
      <c r="H210" s="428" t="s">
        <v>626</v>
      </c>
      <c r="I210" s="429">
        <v>23002437</v>
      </c>
      <c r="J210" s="463" t="s">
        <v>627</v>
      </c>
      <c r="K210" s="425" t="s">
        <v>628</v>
      </c>
      <c r="L210" s="425" t="s">
        <v>628</v>
      </c>
      <c r="M210" s="425" t="s">
        <v>70</v>
      </c>
      <c r="O210" s="426" t="s">
        <v>629</v>
      </c>
      <c r="Q210" s="430"/>
      <c r="R210" s="470" t="s">
        <v>596</v>
      </c>
      <c r="S210" s="432"/>
      <c r="T210" s="432"/>
      <c r="U210" s="432"/>
      <c r="V210" s="432"/>
      <c r="W210" s="432"/>
      <c r="X210" s="432"/>
      <c r="Y210" s="432"/>
      <c r="Z210" s="432"/>
      <c r="AA210" s="432"/>
      <c r="AB210" s="432"/>
      <c r="AC210" s="432"/>
      <c r="AD210" s="432"/>
      <c r="AE210" s="432"/>
      <c r="AF210" s="432"/>
      <c r="AG210" s="432"/>
      <c r="AH210" s="432"/>
      <c r="AI210" s="432"/>
      <c r="AJ210" s="432"/>
      <c r="AK210" s="432"/>
      <c r="AL210" s="432"/>
      <c r="AM210" s="432"/>
      <c r="AN210" s="432"/>
      <c r="AO210" s="432"/>
      <c r="AP210" s="432"/>
      <c r="AQ210" s="432"/>
      <c r="AR210" s="432"/>
      <c r="AS210" s="432"/>
      <c r="AT210" s="432"/>
      <c r="AU210" s="432"/>
      <c r="AV210" s="432"/>
      <c r="AW210" s="432"/>
      <c r="AX210" s="432"/>
      <c r="AY210" s="432"/>
      <c r="AZ210" s="432"/>
      <c r="BA210" s="432"/>
      <c r="BB210" s="432"/>
      <c r="BC210" s="432"/>
      <c r="BD210" s="432"/>
      <c r="BE210" s="432"/>
      <c r="BF210" s="432"/>
      <c r="BG210" s="432"/>
      <c r="BH210" s="432"/>
      <c r="BI210" s="432"/>
      <c r="BJ210" s="432"/>
      <c r="BK210" s="433"/>
    </row>
    <row r="211" spans="1:63" s="425" customFormat="1" ht="21" hidden="1" customHeight="1" x14ac:dyDescent="0.25">
      <c r="A211" s="435" t="s">
        <v>19</v>
      </c>
      <c r="B211" s="435">
        <v>101628</v>
      </c>
      <c r="C211" s="419" t="s">
        <v>20</v>
      </c>
      <c r="D211" s="419" t="s">
        <v>252</v>
      </c>
      <c r="E211" s="435" t="s">
        <v>22</v>
      </c>
      <c r="F211" s="435" t="s">
        <v>23</v>
      </c>
      <c r="G211" s="438">
        <v>46036</v>
      </c>
      <c r="H211" s="403" t="s">
        <v>630</v>
      </c>
      <c r="I211" s="448">
        <v>25058483</v>
      </c>
      <c r="J211" s="435" t="s">
        <v>631</v>
      </c>
      <c r="K211" s="435">
        <v>71993304312</v>
      </c>
      <c r="L211" s="435">
        <v>71993304312</v>
      </c>
      <c r="M211" s="435" t="s">
        <v>70</v>
      </c>
      <c r="O211" s="426"/>
      <c r="Q211" s="430"/>
      <c r="R211" s="468"/>
      <c r="S211" s="432"/>
      <c r="T211" s="432"/>
      <c r="U211" s="432"/>
      <c r="V211" s="432"/>
      <c r="W211" s="432"/>
      <c r="X211" s="432"/>
      <c r="Y211" s="432"/>
      <c r="Z211" s="432"/>
      <c r="AA211" s="432"/>
      <c r="AB211" s="432"/>
      <c r="AC211" s="432"/>
      <c r="AD211" s="432"/>
      <c r="AE211" s="432"/>
      <c r="AF211" s="432"/>
      <c r="AG211" s="432"/>
      <c r="AH211" s="432"/>
      <c r="AI211" s="432"/>
      <c r="AJ211" s="432"/>
      <c r="AK211" s="432"/>
      <c r="AL211" s="432"/>
      <c r="AM211" s="432"/>
      <c r="AN211" s="432"/>
      <c r="AO211" s="432"/>
      <c r="AP211" s="432"/>
      <c r="AQ211" s="432"/>
      <c r="AR211" s="432"/>
      <c r="AS211" s="432"/>
      <c r="AT211" s="432"/>
      <c r="AU211" s="432"/>
      <c r="AV211" s="432"/>
      <c r="AW211" s="432"/>
      <c r="AX211" s="432"/>
      <c r="AY211" s="432"/>
      <c r="AZ211" s="432"/>
      <c r="BA211" s="432"/>
      <c r="BB211" s="432"/>
      <c r="BC211" s="432"/>
      <c r="BD211" s="432"/>
      <c r="BE211" s="432"/>
      <c r="BF211" s="432"/>
      <c r="BG211" s="432"/>
      <c r="BH211" s="432"/>
      <c r="BI211" s="432"/>
      <c r="BJ211" s="432"/>
      <c r="BK211" s="433"/>
    </row>
    <row r="212" spans="1:63" s="383" customFormat="1" ht="20.25" hidden="1" customHeight="1" x14ac:dyDescent="0.25">
      <c r="A212" s="383" t="s">
        <v>19</v>
      </c>
      <c r="B212" s="383">
        <v>101630</v>
      </c>
      <c r="C212" s="389" t="s">
        <v>20</v>
      </c>
      <c r="D212" s="389" t="s">
        <v>40</v>
      </c>
      <c r="E212" s="383" t="s">
        <v>22</v>
      </c>
      <c r="F212" s="383" t="s">
        <v>23</v>
      </c>
      <c r="G212" s="395">
        <v>46038</v>
      </c>
      <c r="H212" s="404" t="s">
        <v>632</v>
      </c>
      <c r="I212" s="408">
        <v>25059429</v>
      </c>
      <c r="J212" s="383" t="s">
        <v>633</v>
      </c>
      <c r="K212" s="383">
        <v>71982983943</v>
      </c>
      <c r="L212" s="383">
        <v>71982983943</v>
      </c>
      <c r="O212" s="389"/>
      <c r="Q212" s="467"/>
      <c r="R212" s="452"/>
      <c r="S212" s="453"/>
      <c r="T212" s="453"/>
      <c r="U212" s="453"/>
      <c r="V212" s="453"/>
      <c r="W212" s="453"/>
      <c r="X212" s="453"/>
      <c r="Y212" s="453"/>
      <c r="Z212" s="453"/>
      <c r="AA212" s="453"/>
      <c r="AB212" s="453"/>
      <c r="AC212" s="453"/>
      <c r="AD212" s="453"/>
      <c r="AE212" s="453"/>
      <c r="AF212" s="453"/>
      <c r="AG212" s="453"/>
      <c r="AH212" s="453"/>
      <c r="AI212" s="453"/>
      <c r="AJ212" s="453"/>
      <c r="AK212" s="453"/>
      <c r="AL212" s="453"/>
      <c r="AM212" s="453"/>
      <c r="AN212" s="453"/>
      <c r="AO212" s="453"/>
      <c r="AP212" s="453"/>
      <c r="AQ212" s="453"/>
      <c r="AR212" s="453"/>
      <c r="AS212" s="453"/>
      <c r="AT212" s="453"/>
      <c r="AU212" s="453"/>
      <c r="AV212" s="453"/>
      <c r="AW212" s="453"/>
      <c r="AX212" s="453"/>
      <c r="AY212" s="453"/>
      <c r="AZ212" s="453"/>
      <c r="BA212" s="453"/>
      <c r="BB212" s="453"/>
      <c r="BC212" s="453"/>
      <c r="BD212" s="453"/>
      <c r="BE212" s="453"/>
      <c r="BF212" s="453"/>
      <c r="BG212" s="453"/>
      <c r="BH212" s="453"/>
      <c r="BI212" s="453"/>
      <c r="BJ212" s="453"/>
      <c r="BK212" s="454"/>
    </row>
    <row r="213" spans="1:63" s="425" customFormat="1" ht="21" hidden="1" customHeight="1" x14ac:dyDescent="0.2">
      <c r="A213" s="425" t="s">
        <v>19</v>
      </c>
      <c r="B213" s="425">
        <v>101627</v>
      </c>
      <c r="C213" s="426" t="s">
        <v>20</v>
      </c>
      <c r="D213" s="426" t="s">
        <v>44</v>
      </c>
      <c r="E213" s="425" t="s">
        <v>22</v>
      </c>
      <c r="F213" s="425" t="s">
        <v>23</v>
      </c>
      <c r="G213" s="427">
        <v>46039</v>
      </c>
      <c r="H213" s="428" t="s">
        <v>634</v>
      </c>
      <c r="I213" s="429">
        <v>181668898</v>
      </c>
      <c r="J213" s="463" t="s">
        <v>635</v>
      </c>
      <c r="K213" s="425" t="s">
        <v>636</v>
      </c>
      <c r="L213" s="425" t="s">
        <v>636</v>
      </c>
      <c r="M213" s="425" t="s">
        <v>70</v>
      </c>
      <c r="O213" s="426" t="s">
        <v>637</v>
      </c>
      <c r="Q213" s="430"/>
      <c r="R213" s="470" t="s">
        <v>596</v>
      </c>
      <c r="S213" s="432"/>
      <c r="T213" s="432"/>
      <c r="U213" s="432"/>
      <c r="V213" s="432"/>
      <c r="W213" s="432"/>
      <c r="X213" s="432"/>
      <c r="Y213" s="432"/>
      <c r="Z213" s="432"/>
      <c r="AA213" s="432"/>
      <c r="AB213" s="432"/>
      <c r="AC213" s="432"/>
      <c r="AD213" s="432"/>
      <c r="AE213" s="432"/>
      <c r="AF213" s="432"/>
      <c r="AG213" s="432"/>
      <c r="AH213" s="432"/>
      <c r="AI213" s="432"/>
      <c r="AJ213" s="432"/>
      <c r="AK213" s="432"/>
      <c r="AL213" s="432"/>
      <c r="AM213" s="432"/>
      <c r="AN213" s="432"/>
      <c r="AO213" s="432"/>
      <c r="AP213" s="432"/>
      <c r="AQ213" s="432"/>
      <c r="AR213" s="432"/>
      <c r="AS213" s="432"/>
      <c r="AT213" s="432"/>
      <c r="AU213" s="432"/>
      <c r="AV213" s="432"/>
      <c r="AW213" s="432"/>
      <c r="AX213" s="432"/>
      <c r="AY213" s="432"/>
      <c r="AZ213" s="432"/>
      <c r="BA213" s="432"/>
      <c r="BB213" s="432"/>
      <c r="BC213" s="432"/>
      <c r="BD213" s="432"/>
      <c r="BE213" s="432"/>
      <c r="BF213" s="432"/>
      <c r="BG213" s="432"/>
      <c r="BH213" s="432"/>
      <c r="BI213" s="432"/>
      <c r="BJ213" s="432"/>
      <c r="BK213" s="433"/>
    </row>
    <row r="214" spans="1:63" s="425" customFormat="1" ht="21" hidden="1" customHeight="1" x14ac:dyDescent="0.25">
      <c r="A214" s="425" t="s">
        <v>19</v>
      </c>
      <c r="B214" s="435">
        <v>101630</v>
      </c>
      <c r="C214" s="419" t="s">
        <v>20</v>
      </c>
      <c r="D214" s="419" t="s">
        <v>40</v>
      </c>
      <c r="E214" s="435" t="s">
        <v>22</v>
      </c>
      <c r="F214" s="435" t="s">
        <v>23</v>
      </c>
      <c r="G214" s="438">
        <v>45992</v>
      </c>
      <c r="H214" s="403" t="s">
        <v>638</v>
      </c>
      <c r="I214" s="448">
        <v>181701687</v>
      </c>
      <c r="J214" s="435" t="s">
        <v>639</v>
      </c>
      <c r="K214" s="435">
        <v>71986995687</v>
      </c>
      <c r="L214" s="435">
        <v>71986995687</v>
      </c>
      <c r="M214" s="435" t="s">
        <v>70</v>
      </c>
      <c r="O214" s="426"/>
      <c r="P214" s="425" t="s">
        <v>97</v>
      </c>
      <c r="Q214" s="430"/>
      <c r="R214" s="431"/>
      <c r="S214" s="432" t="s">
        <v>97</v>
      </c>
      <c r="T214" s="432"/>
      <c r="U214" s="432"/>
      <c r="V214" s="432"/>
      <c r="W214" s="432"/>
      <c r="X214" s="432"/>
      <c r="Y214" s="432"/>
      <c r="Z214" s="432"/>
      <c r="AA214" s="432"/>
      <c r="AB214" s="432"/>
      <c r="AC214" s="432"/>
      <c r="AD214" s="432"/>
      <c r="AE214" s="432"/>
      <c r="AF214" s="432"/>
      <c r="AG214" s="432"/>
      <c r="AH214" s="432"/>
      <c r="AI214" s="432"/>
      <c r="AJ214" s="432"/>
      <c r="AK214" s="432"/>
      <c r="AL214" s="432"/>
      <c r="AM214" s="432"/>
      <c r="AN214" s="432"/>
      <c r="AO214" s="432"/>
      <c r="AP214" s="432"/>
      <c r="AQ214" s="432"/>
      <c r="AR214" s="432"/>
      <c r="AS214" s="432"/>
      <c r="AT214" s="432"/>
      <c r="AU214" s="432"/>
      <c r="AV214" s="432"/>
      <c r="AW214" s="432"/>
      <c r="AX214" s="432"/>
      <c r="AY214" s="432"/>
      <c r="AZ214" s="432"/>
      <c r="BA214" s="432"/>
      <c r="BB214" s="432"/>
      <c r="BC214" s="432"/>
      <c r="BD214" s="432"/>
      <c r="BE214" s="432"/>
      <c r="BF214" s="432"/>
      <c r="BG214" s="432"/>
      <c r="BH214" s="432"/>
      <c r="BI214" s="432"/>
      <c r="BJ214" s="432"/>
      <c r="BK214" s="433"/>
    </row>
    <row r="215" spans="1:63" s="425" customFormat="1" ht="21" hidden="1" customHeight="1" x14ac:dyDescent="0.25">
      <c r="A215" s="425" t="s">
        <v>19</v>
      </c>
      <c r="B215" s="425">
        <v>101631</v>
      </c>
      <c r="C215" s="426" t="s">
        <v>20</v>
      </c>
      <c r="D215" s="426" t="s">
        <v>21</v>
      </c>
      <c r="E215" s="425" t="s">
        <v>22</v>
      </c>
      <c r="F215" s="425" t="s">
        <v>23</v>
      </c>
      <c r="G215" s="427">
        <v>46041</v>
      </c>
      <c r="H215" s="428" t="s">
        <v>640</v>
      </c>
      <c r="I215" s="429">
        <v>91183997</v>
      </c>
      <c r="J215" s="463" t="s">
        <v>641</v>
      </c>
      <c r="K215" s="425" t="s">
        <v>642</v>
      </c>
      <c r="L215" s="425" t="s">
        <v>642</v>
      </c>
      <c r="M215" s="425" t="s">
        <v>70</v>
      </c>
      <c r="O215" s="426"/>
      <c r="Q215" s="430"/>
      <c r="R215" s="431"/>
      <c r="S215" s="432"/>
      <c r="T215" s="432"/>
      <c r="U215" s="432"/>
      <c r="V215" s="432"/>
      <c r="W215" s="432"/>
      <c r="X215" s="432"/>
      <c r="Y215" s="432"/>
      <c r="Z215" s="432"/>
      <c r="AA215" s="432"/>
      <c r="AB215" s="432"/>
      <c r="AC215" s="432"/>
      <c r="AD215" s="432"/>
      <c r="AE215" s="432"/>
      <c r="AF215" s="432"/>
      <c r="AG215" s="432"/>
      <c r="AH215" s="432"/>
      <c r="AI215" s="432"/>
      <c r="AJ215" s="432"/>
      <c r="AK215" s="432"/>
      <c r="AL215" s="432"/>
      <c r="AM215" s="432"/>
      <c r="AN215" s="432"/>
      <c r="AO215" s="432"/>
      <c r="AP215" s="432"/>
      <c r="AQ215" s="432"/>
      <c r="AR215" s="432"/>
      <c r="AS215" s="432"/>
      <c r="AT215" s="432"/>
      <c r="AU215" s="432"/>
      <c r="AV215" s="432"/>
      <c r="AW215" s="432"/>
      <c r="AX215" s="432"/>
      <c r="AY215" s="432"/>
      <c r="AZ215" s="432"/>
      <c r="BA215" s="432"/>
      <c r="BB215" s="432"/>
      <c r="BC215" s="432"/>
      <c r="BD215" s="432"/>
      <c r="BE215" s="432"/>
      <c r="BF215" s="432"/>
      <c r="BG215" s="432"/>
      <c r="BH215" s="432"/>
      <c r="BI215" s="432"/>
      <c r="BJ215" s="432"/>
      <c r="BK215" s="433"/>
    </row>
    <row r="216" spans="1:63" s="425" customFormat="1" ht="20.25" hidden="1" customHeight="1" x14ac:dyDescent="0.25">
      <c r="A216" s="425" t="s">
        <v>19</v>
      </c>
      <c r="B216" s="425">
        <v>101631</v>
      </c>
      <c r="C216" s="426" t="s">
        <v>20</v>
      </c>
      <c r="D216" s="426" t="s">
        <v>27</v>
      </c>
      <c r="E216" s="425" t="s">
        <v>22</v>
      </c>
      <c r="F216" s="425" t="s">
        <v>23</v>
      </c>
      <c r="G216" s="427">
        <v>46039</v>
      </c>
      <c r="H216" s="428" t="s">
        <v>643</v>
      </c>
      <c r="I216" s="429">
        <v>21801937</v>
      </c>
      <c r="J216" s="425" t="s">
        <v>644</v>
      </c>
      <c r="K216" s="425">
        <v>71984392881</v>
      </c>
      <c r="L216" s="425">
        <v>71984392881</v>
      </c>
      <c r="M216" s="425" t="s">
        <v>70</v>
      </c>
      <c r="O216" s="426" t="s">
        <v>645</v>
      </c>
      <c r="Q216" s="430"/>
      <c r="R216" s="431"/>
      <c r="S216" s="432"/>
      <c r="T216" s="432"/>
      <c r="U216" s="432"/>
      <c r="V216" s="432"/>
      <c r="W216" s="432"/>
      <c r="X216" s="432"/>
      <c r="Y216" s="432"/>
      <c r="Z216" s="432"/>
      <c r="AA216" s="432"/>
      <c r="AB216" s="432"/>
      <c r="AC216" s="432"/>
      <c r="AD216" s="432"/>
      <c r="AE216" s="432"/>
      <c r="AF216" s="432"/>
      <c r="AG216" s="432"/>
      <c r="AH216" s="432"/>
      <c r="AI216" s="432"/>
      <c r="AJ216" s="432"/>
      <c r="AK216" s="432"/>
      <c r="AL216" s="432"/>
      <c r="AM216" s="432"/>
      <c r="AN216" s="432"/>
      <c r="AO216" s="432"/>
      <c r="AP216" s="432"/>
      <c r="AQ216" s="432"/>
      <c r="AR216" s="432"/>
      <c r="AS216" s="432"/>
      <c r="AT216" s="432"/>
      <c r="AU216" s="432"/>
      <c r="AV216" s="432"/>
      <c r="AW216" s="432"/>
      <c r="AX216" s="432"/>
      <c r="AY216" s="432"/>
      <c r="AZ216" s="432"/>
      <c r="BA216" s="432"/>
      <c r="BB216" s="432"/>
      <c r="BC216" s="432"/>
      <c r="BD216" s="432"/>
      <c r="BE216" s="432"/>
      <c r="BF216" s="432"/>
      <c r="BG216" s="432"/>
      <c r="BH216" s="432"/>
      <c r="BI216" s="432"/>
      <c r="BJ216" s="432"/>
      <c r="BK216" s="433"/>
    </row>
    <row r="217" spans="1:63" s="425" customFormat="1" ht="21" hidden="1" customHeight="1" x14ac:dyDescent="0.25">
      <c r="A217" s="435" t="s">
        <v>19</v>
      </c>
      <c r="B217" s="435">
        <v>101626</v>
      </c>
      <c r="C217" s="419" t="s">
        <v>20</v>
      </c>
      <c r="D217" s="419" t="s">
        <v>21</v>
      </c>
      <c r="E217" s="435" t="s">
        <v>22</v>
      </c>
      <c r="F217" s="435" t="s">
        <v>23</v>
      </c>
      <c r="G217" s="438">
        <v>46039</v>
      </c>
      <c r="H217" s="403" t="s">
        <v>646</v>
      </c>
      <c r="I217" s="448">
        <v>23924410</v>
      </c>
      <c r="J217" s="435" t="s">
        <v>647</v>
      </c>
      <c r="K217" s="435">
        <v>71996024057</v>
      </c>
      <c r="L217" s="435">
        <v>71996024057</v>
      </c>
      <c r="M217" s="435" t="s">
        <v>70</v>
      </c>
      <c r="O217" s="426"/>
      <c r="Q217" s="430"/>
      <c r="R217" s="431"/>
      <c r="S217" s="432"/>
      <c r="T217" s="432"/>
      <c r="U217" s="432"/>
      <c r="V217" s="432"/>
      <c r="W217" s="432"/>
      <c r="X217" s="432"/>
      <c r="Y217" s="432"/>
      <c r="Z217" s="432"/>
      <c r="AA217" s="432"/>
      <c r="AB217" s="432"/>
      <c r="AC217" s="432"/>
      <c r="AD217" s="432"/>
      <c r="AE217" s="432"/>
      <c r="AF217" s="432"/>
      <c r="AG217" s="432"/>
      <c r="AH217" s="432"/>
      <c r="AI217" s="432"/>
      <c r="AJ217" s="432"/>
      <c r="AK217" s="432"/>
      <c r="AL217" s="432"/>
      <c r="AM217" s="432"/>
      <c r="AN217" s="432"/>
      <c r="AO217" s="432"/>
      <c r="AP217" s="432"/>
      <c r="AQ217" s="432"/>
      <c r="AR217" s="432"/>
      <c r="AS217" s="432"/>
      <c r="AT217" s="432"/>
      <c r="AU217" s="432"/>
      <c r="AV217" s="432"/>
      <c r="AW217" s="432"/>
      <c r="AX217" s="432"/>
      <c r="AY217" s="432"/>
      <c r="AZ217" s="432"/>
      <c r="BA217" s="432"/>
      <c r="BB217" s="432"/>
      <c r="BC217" s="432"/>
      <c r="BD217" s="432"/>
      <c r="BE217" s="432"/>
      <c r="BF217" s="432"/>
      <c r="BG217" s="432"/>
      <c r="BH217" s="432"/>
      <c r="BI217" s="432"/>
      <c r="BJ217" s="432"/>
      <c r="BK217" s="433"/>
    </row>
    <row r="218" spans="1:63" s="425" customFormat="1" ht="21" hidden="1" customHeight="1" x14ac:dyDescent="0.25">
      <c r="A218" s="435" t="s">
        <v>19</v>
      </c>
      <c r="B218" s="435">
        <v>101628</v>
      </c>
      <c r="C218" s="419" t="s">
        <v>20</v>
      </c>
      <c r="D218" s="419" t="s">
        <v>252</v>
      </c>
      <c r="E218" s="435" t="s">
        <v>22</v>
      </c>
      <c r="F218" s="435" t="s">
        <v>23</v>
      </c>
      <c r="G218" s="438">
        <v>46028</v>
      </c>
      <c r="H218" s="403" t="s">
        <v>648</v>
      </c>
      <c r="I218" s="448">
        <v>15488786</v>
      </c>
      <c r="J218" s="435" t="s">
        <v>649</v>
      </c>
      <c r="K218" s="435">
        <v>71996856187</v>
      </c>
      <c r="L218" s="435">
        <v>71996856187</v>
      </c>
      <c r="M218" s="435" t="s">
        <v>70</v>
      </c>
      <c r="O218" s="426"/>
      <c r="P218" s="425" t="s">
        <v>277</v>
      </c>
      <c r="Q218" s="430"/>
      <c r="R218" s="431"/>
      <c r="S218" s="432"/>
      <c r="T218" s="432"/>
      <c r="U218" s="432"/>
      <c r="V218" s="432"/>
      <c r="W218" s="432"/>
      <c r="X218" s="432"/>
      <c r="Y218" s="432"/>
      <c r="Z218" s="432"/>
      <c r="AA218" s="432"/>
      <c r="AB218" s="432"/>
      <c r="AC218" s="432"/>
      <c r="AD218" s="432"/>
      <c r="AE218" s="432"/>
      <c r="AF218" s="432"/>
      <c r="AG218" s="432"/>
      <c r="AH218" s="432"/>
      <c r="AI218" s="432"/>
      <c r="AJ218" s="432"/>
      <c r="AK218" s="432"/>
      <c r="AL218" s="432"/>
      <c r="AM218" s="432"/>
      <c r="AN218" s="432"/>
      <c r="AO218" s="432"/>
      <c r="AP218" s="432"/>
      <c r="AQ218" s="432"/>
      <c r="AR218" s="432"/>
      <c r="AS218" s="432"/>
      <c r="AT218" s="432"/>
      <c r="AU218" s="432"/>
      <c r="AV218" s="432"/>
      <c r="AW218" s="432"/>
      <c r="AX218" s="432"/>
      <c r="AY218" s="432"/>
      <c r="AZ218" s="432"/>
      <c r="BA218" s="432"/>
      <c r="BB218" s="432"/>
      <c r="BC218" s="432"/>
      <c r="BD218" s="432"/>
      <c r="BE218" s="432"/>
      <c r="BF218" s="432"/>
      <c r="BG218" s="432"/>
      <c r="BH218" s="432"/>
      <c r="BI218" s="432"/>
      <c r="BJ218" s="432"/>
      <c r="BK218" s="433"/>
    </row>
    <row r="219" spans="1:63" s="425" customFormat="1" ht="21" hidden="1" customHeight="1" x14ac:dyDescent="0.25">
      <c r="A219" s="435" t="s">
        <v>19</v>
      </c>
      <c r="B219" s="435">
        <v>101626</v>
      </c>
      <c r="C219" s="419" t="s">
        <v>20</v>
      </c>
      <c r="D219" s="419" t="s">
        <v>21</v>
      </c>
      <c r="E219" s="435" t="s">
        <v>22</v>
      </c>
      <c r="F219" s="435" t="s">
        <v>23</v>
      </c>
      <c r="G219" s="438">
        <v>46041</v>
      </c>
      <c r="H219" s="403" t="s">
        <v>650</v>
      </c>
      <c r="I219" s="448">
        <v>25059760</v>
      </c>
      <c r="J219" s="435" t="s">
        <v>651</v>
      </c>
      <c r="K219" s="435">
        <v>71991161472</v>
      </c>
      <c r="L219" s="435">
        <v>71991161472</v>
      </c>
      <c r="M219" s="435" t="s">
        <v>70</v>
      </c>
      <c r="O219" s="426"/>
      <c r="Q219" s="430"/>
      <c r="R219" s="431"/>
      <c r="S219" s="432"/>
      <c r="T219" s="432"/>
      <c r="U219" s="432"/>
      <c r="V219" s="432"/>
      <c r="W219" s="432"/>
      <c r="X219" s="432"/>
      <c r="Y219" s="432"/>
      <c r="Z219" s="432"/>
      <c r="AA219" s="432"/>
      <c r="AB219" s="432"/>
      <c r="AC219" s="432"/>
      <c r="AD219" s="432"/>
      <c r="AE219" s="432"/>
      <c r="AF219" s="432"/>
      <c r="AG219" s="432"/>
      <c r="AH219" s="432"/>
      <c r="AI219" s="432"/>
      <c r="AJ219" s="432"/>
      <c r="AK219" s="432"/>
      <c r="AL219" s="432"/>
      <c r="AM219" s="432"/>
      <c r="AN219" s="432"/>
      <c r="AO219" s="432"/>
      <c r="AP219" s="432"/>
      <c r="AQ219" s="432"/>
      <c r="AR219" s="432"/>
      <c r="AS219" s="432"/>
      <c r="AT219" s="432"/>
      <c r="AU219" s="432"/>
      <c r="AV219" s="432"/>
      <c r="AW219" s="432"/>
      <c r="AX219" s="432"/>
      <c r="AY219" s="432"/>
      <c r="AZ219" s="432"/>
      <c r="BA219" s="432"/>
      <c r="BB219" s="432"/>
      <c r="BC219" s="432"/>
      <c r="BD219" s="432"/>
      <c r="BE219" s="432"/>
      <c r="BF219" s="432"/>
      <c r="BG219" s="432"/>
      <c r="BH219" s="432"/>
      <c r="BI219" s="432"/>
      <c r="BJ219" s="432"/>
      <c r="BK219" s="433"/>
    </row>
    <row r="220" spans="1:63" s="425" customFormat="1" ht="21" hidden="1" customHeight="1" x14ac:dyDescent="0.25">
      <c r="A220" s="435" t="s">
        <v>19</v>
      </c>
      <c r="B220" s="435">
        <v>101631</v>
      </c>
      <c r="C220" s="419" t="s">
        <v>20</v>
      </c>
      <c r="D220" s="419" t="s">
        <v>27</v>
      </c>
      <c r="E220" s="435" t="s">
        <v>22</v>
      </c>
      <c r="F220" s="435" t="s">
        <v>23</v>
      </c>
      <c r="G220" s="438">
        <v>46035</v>
      </c>
      <c r="H220" s="403" t="s">
        <v>652</v>
      </c>
      <c r="I220" s="448">
        <v>14475907</v>
      </c>
      <c r="J220" s="435" t="s">
        <v>653</v>
      </c>
      <c r="K220" s="435">
        <v>71983607815</v>
      </c>
      <c r="L220" s="435">
        <v>71983607815</v>
      </c>
      <c r="M220" s="435" t="s">
        <v>70</v>
      </c>
      <c r="O220" s="426"/>
      <c r="Q220" s="430"/>
      <c r="R220" s="431"/>
      <c r="S220" s="432"/>
      <c r="T220" s="432"/>
      <c r="U220" s="432"/>
      <c r="V220" s="432"/>
      <c r="W220" s="432"/>
      <c r="X220" s="432"/>
      <c r="Y220" s="432"/>
      <c r="Z220" s="432"/>
      <c r="AA220" s="432"/>
      <c r="AB220" s="432"/>
      <c r="AC220" s="432"/>
      <c r="AD220" s="432"/>
      <c r="AE220" s="432"/>
      <c r="AF220" s="432"/>
      <c r="AG220" s="432"/>
      <c r="AH220" s="432"/>
      <c r="AI220" s="432"/>
      <c r="AJ220" s="432"/>
      <c r="AK220" s="432"/>
      <c r="AL220" s="432"/>
      <c r="AM220" s="432"/>
      <c r="AN220" s="432"/>
      <c r="AO220" s="432"/>
      <c r="AP220" s="432"/>
      <c r="AQ220" s="432"/>
      <c r="AR220" s="432"/>
      <c r="AS220" s="432"/>
      <c r="AT220" s="432"/>
      <c r="AU220" s="432"/>
      <c r="AV220" s="432"/>
      <c r="AW220" s="432"/>
      <c r="AX220" s="432"/>
      <c r="AY220" s="432"/>
      <c r="AZ220" s="432"/>
      <c r="BA220" s="432"/>
      <c r="BB220" s="432"/>
      <c r="BC220" s="432"/>
      <c r="BD220" s="432"/>
      <c r="BE220" s="432"/>
      <c r="BF220" s="432"/>
      <c r="BG220" s="432"/>
      <c r="BH220" s="432"/>
      <c r="BI220" s="432"/>
      <c r="BJ220" s="432"/>
      <c r="BK220" s="433"/>
    </row>
    <row r="221" spans="1:63" s="425" customFormat="1" ht="21" hidden="1" customHeight="1" x14ac:dyDescent="0.25">
      <c r="A221" s="435" t="s">
        <v>19</v>
      </c>
      <c r="B221" s="435">
        <v>101627</v>
      </c>
      <c r="C221" s="419" t="s">
        <v>20</v>
      </c>
      <c r="D221" s="419" t="s">
        <v>44</v>
      </c>
      <c r="E221" s="435" t="s">
        <v>22</v>
      </c>
      <c r="F221" s="435" t="s">
        <v>23</v>
      </c>
      <c r="G221" s="438">
        <v>46038</v>
      </c>
      <c r="H221" s="403" t="s">
        <v>654</v>
      </c>
      <c r="I221" s="448">
        <v>25059285</v>
      </c>
      <c r="J221" s="435" t="s">
        <v>655</v>
      </c>
      <c r="K221" s="435">
        <v>71999842757</v>
      </c>
      <c r="L221" s="435">
        <v>71999842757</v>
      </c>
      <c r="M221" s="435" t="s">
        <v>70</v>
      </c>
      <c r="O221" s="426"/>
      <c r="Q221" s="430"/>
      <c r="R221" s="431"/>
      <c r="S221" s="432"/>
      <c r="T221" s="432"/>
      <c r="U221" s="432"/>
      <c r="V221" s="432"/>
      <c r="W221" s="432"/>
      <c r="X221" s="432"/>
      <c r="Y221" s="432"/>
      <c r="Z221" s="432"/>
      <c r="AA221" s="432"/>
      <c r="AB221" s="432"/>
      <c r="AC221" s="432"/>
      <c r="AD221" s="432"/>
      <c r="AE221" s="432"/>
      <c r="AF221" s="432"/>
      <c r="AG221" s="432"/>
      <c r="AH221" s="432"/>
      <c r="AI221" s="432"/>
      <c r="AJ221" s="432"/>
      <c r="AK221" s="432"/>
      <c r="AL221" s="432"/>
      <c r="AM221" s="432"/>
      <c r="AN221" s="432"/>
      <c r="AO221" s="432"/>
      <c r="AP221" s="432"/>
      <c r="AQ221" s="432"/>
      <c r="AR221" s="432"/>
      <c r="AS221" s="432"/>
      <c r="AT221" s="432"/>
      <c r="AU221" s="432"/>
      <c r="AV221" s="432"/>
      <c r="AW221" s="432"/>
      <c r="AX221" s="432"/>
      <c r="AY221" s="432"/>
      <c r="AZ221" s="432"/>
      <c r="BA221" s="432"/>
      <c r="BB221" s="432"/>
      <c r="BC221" s="432"/>
      <c r="BD221" s="432"/>
      <c r="BE221" s="432"/>
      <c r="BF221" s="432"/>
      <c r="BG221" s="432"/>
      <c r="BH221" s="432"/>
      <c r="BI221" s="432"/>
      <c r="BJ221" s="432"/>
      <c r="BK221" s="433"/>
    </row>
    <row r="222" spans="1:63" s="425" customFormat="1" ht="21" hidden="1" customHeight="1" x14ac:dyDescent="0.25">
      <c r="A222" s="435" t="s">
        <v>19</v>
      </c>
      <c r="B222" s="435">
        <v>101625</v>
      </c>
      <c r="C222" s="419" t="s">
        <v>20</v>
      </c>
      <c r="D222" s="419" t="s">
        <v>187</v>
      </c>
      <c r="E222" s="435" t="s">
        <v>22</v>
      </c>
      <c r="F222" s="435" t="s">
        <v>23</v>
      </c>
      <c r="G222" s="438">
        <v>46041</v>
      </c>
      <c r="H222" s="403" t="s">
        <v>656</v>
      </c>
      <c r="I222" s="448">
        <v>25027555</v>
      </c>
      <c r="J222" s="449" t="s">
        <v>657</v>
      </c>
      <c r="K222" s="435" t="s">
        <v>658</v>
      </c>
      <c r="L222" s="435" t="s">
        <v>658</v>
      </c>
      <c r="M222" s="435" t="s">
        <v>70</v>
      </c>
      <c r="O222" s="426"/>
      <c r="Q222" s="430"/>
      <c r="R222" s="431"/>
      <c r="S222" s="432"/>
      <c r="T222" s="432"/>
      <c r="U222" s="432"/>
      <c r="V222" s="432"/>
      <c r="W222" s="432"/>
      <c r="X222" s="432"/>
      <c r="Y222" s="432"/>
      <c r="Z222" s="432"/>
      <c r="AA222" s="432"/>
      <c r="AB222" s="432"/>
      <c r="AC222" s="432"/>
      <c r="AD222" s="432"/>
      <c r="AE222" s="432"/>
      <c r="AF222" s="432"/>
      <c r="AG222" s="432"/>
      <c r="AH222" s="432"/>
      <c r="AI222" s="432"/>
      <c r="AJ222" s="432"/>
      <c r="AK222" s="432"/>
      <c r="AL222" s="432"/>
      <c r="AM222" s="432"/>
      <c r="AN222" s="432"/>
      <c r="AO222" s="432"/>
      <c r="AP222" s="432"/>
      <c r="AQ222" s="432"/>
      <c r="AR222" s="432"/>
      <c r="AS222" s="432"/>
      <c r="AT222" s="432"/>
      <c r="AU222" s="432"/>
      <c r="AV222" s="432"/>
      <c r="AW222" s="432"/>
      <c r="AX222" s="432"/>
      <c r="AY222" s="432"/>
      <c r="AZ222" s="432"/>
      <c r="BA222" s="432"/>
      <c r="BB222" s="432"/>
      <c r="BC222" s="432"/>
      <c r="BD222" s="432"/>
      <c r="BE222" s="432"/>
      <c r="BF222" s="432"/>
      <c r="BG222" s="432"/>
      <c r="BH222" s="432"/>
      <c r="BI222" s="432"/>
      <c r="BJ222" s="432"/>
      <c r="BK222" s="433"/>
    </row>
    <row r="223" spans="1:63" s="425" customFormat="1" ht="21" hidden="1" customHeight="1" x14ac:dyDescent="0.25">
      <c r="A223" s="383" t="s">
        <v>19</v>
      </c>
      <c r="B223" s="383">
        <v>101631</v>
      </c>
      <c r="C223" s="389" t="s">
        <v>20</v>
      </c>
      <c r="D223" s="389" t="s">
        <v>27</v>
      </c>
      <c r="E223" s="383" t="s">
        <v>22</v>
      </c>
      <c r="F223" s="383" t="s">
        <v>23</v>
      </c>
      <c r="G223" s="395">
        <v>46038</v>
      </c>
      <c r="H223" s="404" t="s">
        <v>659</v>
      </c>
      <c r="I223" s="408">
        <v>25059135</v>
      </c>
      <c r="J223" s="383" t="s">
        <v>660</v>
      </c>
      <c r="K223" s="383">
        <v>71992230127</v>
      </c>
      <c r="L223" s="383">
        <v>71992230127</v>
      </c>
      <c r="M223" s="383" t="s">
        <v>70</v>
      </c>
      <c r="O223" s="426" t="s">
        <v>661</v>
      </c>
      <c r="Q223" s="430"/>
      <c r="R223" s="431"/>
      <c r="S223" s="432"/>
      <c r="T223" s="432"/>
      <c r="U223" s="432"/>
      <c r="V223" s="432"/>
      <c r="W223" s="432"/>
      <c r="X223" s="432"/>
      <c r="Y223" s="432"/>
      <c r="Z223" s="432"/>
      <c r="AA223" s="432"/>
      <c r="AB223" s="432"/>
      <c r="AC223" s="432"/>
      <c r="AD223" s="432"/>
      <c r="AE223" s="432"/>
      <c r="AF223" s="432"/>
      <c r="AG223" s="432"/>
      <c r="AH223" s="432"/>
      <c r="AI223" s="432"/>
      <c r="AJ223" s="432"/>
      <c r="AK223" s="432"/>
      <c r="AL223" s="432"/>
      <c r="AM223" s="432"/>
      <c r="AN223" s="432"/>
      <c r="AO223" s="432"/>
      <c r="AP223" s="432"/>
      <c r="AQ223" s="432"/>
      <c r="AR223" s="432"/>
      <c r="AS223" s="432"/>
      <c r="AT223" s="432"/>
      <c r="AU223" s="432"/>
      <c r="AV223" s="432"/>
      <c r="AW223" s="432"/>
      <c r="AX223" s="432"/>
      <c r="AY223" s="432"/>
      <c r="AZ223" s="432"/>
      <c r="BA223" s="432"/>
      <c r="BB223" s="432"/>
      <c r="BC223" s="432"/>
      <c r="BD223" s="432"/>
      <c r="BE223" s="432"/>
      <c r="BF223" s="432"/>
      <c r="BG223" s="432"/>
      <c r="BH223" s="432"/>
      <c r="BI223" s="432"/>
      <c r="BJ223" s="432"/>
      <c r="BK223" s="433"/>
    </row>
    <row r="224" spans="1:63" s="425" customFormat="1" ht="21" hidden="1" customHeight="1" x14ac:dyDescent="0.25">
      <c r="A224" s="425" t="s">
        <v>19</v>
      </c>
      <c r="B224" s="425">
        <v>101627</v>
      </c>
      <c r="C224" s="426" t="s">
        <v>20</v>
      </c>
      <c r="D224" s="426" t="s">
        <v>44</v>
      </c>
      <c r="E224" s="425" t="s">
        <v>22</v>
      </c>
      <c r="F224" s="425" t="s">
        <v>23</v>
      </c>
      <c r="G224" s="427">
        <v>46041</v>
      </c>
      <c r="H224" s="428" t="s">
        <v>662</v>
      </c>
      <c r="I224" s="429">
        <v>25060338</v>
      </c>
      <c r="J224" s="425" t="s">
        <v>663</v>
      </c>
      <c r="K224" s="425">
        <v>71981971787</v>
      </c>
      <c r="L224" s="425">
        <v>71981971787</v>
      </c>
      <c r="M224" s="425" t="s">
        <v>70</v>
      </c>
      <c r="O224" s="426" t="s">
        <v>664</v>
      </c>
      <c r="Q224" s="430"/>
      <c r="R224" s="431"/>
      <c r="S224" s="432"/>
      <c r="T224" s="432"/>
      <c r="U224" s="432"/>
      <c r="V224" s="432"/>
      <c r="W224" s="432"/>
      <c r="X224" s="432"/>
      <c r="Y224" s="432"/>
      <c r="Z224" s="432"/>
      <c r="AA224" s="432"/>
      <c r="AB224" s="432"/>
      <c r="AC224" s="432"/>
      <c r="AD224" s="432"/>
      <c r="AE224" s="432"/>
      <c r="AF224" s="432"/>
      <c r="AG224" s="432"/>
      <c r="AH224" s="432"/>
      <c r="AI224" s="432"/>
      <c r="AJ224" s="432"/>
      <c r="AK224" s="432"/>
      <c r="AL224" s="432"/>
      <c r="AM224" s="432"/>
      <c r="AN224" s="432"/>
      <c r="AO224" s="432"/>
      <c r="AP224" s="432"/>
      <c r="AQ224" s="432"/>
      <c r="AR224" s="432"/>
      <c r="AS224" s="432"/>
      <c r="AT224" s="432"/>
      <c r="AU224" s="432"/>
      <c r="AV224" s="432"/>
      <c r="AW224" s="432"/>
      <c r="AX224" s="432"/>
      <c r="AY224" s="432"/>
      <c r="AZ224" s="432"/>
      <c r="BA224" s="432"/>
      <c r="BB224" s="432"/>
      <c r="BC224" s="432"/>
      <c r="BD224" s="432"/>
      <c r="BE224" s="432"/>
      <c r="BF224" s="432"/>
      <c r="BG224" s="432"/>
      <c r="BH224" s="432"/>
      <c r="BI224" s="432"/>
      <c r="BJ224" s="432"/>
      <c r="BK224" s="433"/>
    </row>
    <row r="225" spans="1:63" s="435" customFormat="1" ht="21" hidden="1" customHeight="1" x14ac:dyDescent="0.25">
      <c r="A225" s="435" t="s">
        <v>19</v>
      </c>
      <c r="B225" s="435">
        <v>101626</v>
      </c>
      <c r="C225" s="419" t="s">
        <v>20</v>
      </c>
      <c r="D225" s="419" t="s">
        <v>21</v>
      </c>
      <c r="E225" s="435" t="s">
        <v>22</v>
      </c>
      <c r="F225" s="435" t="s">
        <v>23</v>
      </c>
      <c r="G225" s="438">
        <v>46041</v>
      </c>
      <c r="H225" s="403" t="s">
        <v>665</v>
      </c>
      <c r="I225" s="448">
        <v>25060228</v>
      </c>
      <c r="J225" s="490" t="s">
        <v>666</v>
      </c>
      <c r="K225" s="435">
        <v>71984014956</v>
      </c>
      <c r="L225" s="435">
        <v>71984014956</v>
      </c>
      <c r="M225" s="435" t="s">
        <v>70</v>
      </c>
      <c r="O225" s="419" t="s">
        <v>75</v>
      </c>
      <c r="Q225" s="486"/>
      <c r="R225" s="487" t="s">
        <v>667</v>
      </c>
      <c r="S225" s="488"/>
      <c r="T225" s="488"/>
      <c r="U225" s="488"/>
      <c r="V225" s="488"/>
      <c r="W225" s="488"/>
      <c r="X225" s="488"/>
      <c r="Y225" s="488"/>
      <c r="Z225" s="488"/>
      <c r="AA225" s="488"/>
      <c r="AB225" s="488"/>
      <c r="AC225" s="488"/>
      <c r="AD225" s="488"/>
      <c r="AE225" s="488"/>
      <c r="AF225" s="488"/>
      <c r="AG225" s="488"/>
      <c r="AH225" s="488"/>
      <c r="AI225" s="488"/>
      <c r="AJ225" s="488"/>
      <c r="AK225" s="488"/>
      <c r="AL225" s="488"/>
      <c r="AM225" s="488"/>
      <c r="AN225" s="488"/>
      <c r="AO225" s="488"/>
      <c r="AP225" s="488"/>
      <c r="AQ225" s="488"/>
      <c r="AR225" s="488"/>
      <c r="AS225" s="488"/>
      <c r="AT225" s="488"/>
      <c r="AU225" s="488"/>
      <c r="AV225" s="488"/>
      <c r="AW225" s="488"/>
      <c r="AX225" s="488"/>
      <c r="AY225" s="488"/>
      <c r="AZ225" s="488"/>
      <c r="BA225" s="488"/>
      <c r="BB225" s="488"/>
      <c r="BC225" s="488"/>
      <c r="BD225" s="488"/>
      <c r="BE225" s="488"/>
      <c r="BF225" s="488"/>
      <c r="BG225" s="488"/>
      <c r="BH225" s="488"/>
      <c r="BI225" s="488"/>
      <c r="BJ225" s="488"/>
      <c r="BK225" s="489"/>
    </row>
    <row r="226" spans="1:63" s="383" customFormat="1" ht="21" hidden="1" customHeight="1" x14ac:dyDescent="0.25">
      <c r="A226" s="383" t="s">
        <v>19</v>
      </c>
      <c r="B226" s="383">
        <v>101630</v>
      </c>
      <c r="C226" s="389" t="s">
        <v>20</v>
      </c>
      <c r="D226" s="389" t="s">
        <v>40</v>
      </c>
      <c r="E226" s="383" t="s">
        <v>22</v>
      </c>
      <c r="F226" s="383" t="s">
        <v>23</v>
      </c>
      <c r="G226" s="395">
        <v>46042</v>
      </c>
      <c r="H226" s="404" t="s">
        <v>668</v>
      </c>
      <c r="I226" s="408">
        <v>25013947</v>
      </c>
      <c r="J226" s="383" t="s">
        <v>669</v>
      </c>
      <c r="K226" s="383">
        <v>71991072917</v>
      </c>
      <c r="L226" s="383">
        <v>71991072917</v>
      </c>
      <c r="O226" s="389"/>
      <c r="Q226" s="467"/>
      <c r="R226" s="452"/>
      <c r="S226" s="453"/>
      <c r="T226" s="453"/>
      <c r="U226" s="453"/>
      <c r="V226" s="453"/>
      <c r="W226" s="453"/>
      <c r="X226" s="453"/>
      <c r="Y226" s="453"/>
      <c r="Z226" s="453"/>
      <c r="AA226" s="453"/>
      <c r="AB226" s="453"/>
      <c r="AC226" s="453"/>
      <c r="AD226" s="453"/>
      <c r="AE226" s="453"/>
      <c r="AF226" s="453"/>
      <c r="AG226" s="453"/>
      <c r="AH226" s="453"/>
      <c r="AI226" s="453"/>
      <c r="AJ226" s="453"/>
      <c r="AK226" s="453"/>
      <c r="AL226" s="453"/>
      <c r="AM226" s="453"/>
      <c r="AN226" s="453"/>
      <c r="AO226" s="453"/>
      <c r="AP226" s="453"/>
      <c r="AQ226" s="453"/>
      <c r="AR226" s="453"/>
      <c r="AS226" s="453"/>
      <c r="AT226" s="453"/>
      <c r="AU226" s="453"/>
      <c r="AV226" s="453"/>
      <c r="AW226" s="453"/>
      <c r="AX226" s="453"/>
      <c r="AY226" s="453"/>
      <c r="AZ226" s="453"/>
      <c r="BA226" s="453"/>
      <c r="BB226" s="453"/>
      <c r="BC226" s="453"/>
      <c r="BD226" s="453"/>
      <c r="BE226" s="453"/>
      <c r="BF226" s="453"/>
      <c r="BG226" s="453"/>
      <c r="BH226" s="453"/>
      <c r="BI226" s="453"/>
      <c r="BJ226" s="453"/>
      <c r="BK226" s="454"/>
    </row>
    <row r="227" spans="1:63" s="383" customFormat="1" ht="21" hidden="1" customHeight="1" x14ac:dyDescent="0.25">
      <c r="A227" s="383" t="s">
        <v>19</v>
      </c>
      <c r="B227" s="383">
        <v>101630</v>
      </c>
      <c r="C227" s="389" t="s">
        <v>20</v>
      </c>
      <c r="D227" s="389" t="s">
        <v>40</v>
      </c>
      <c r="E227" s="383" t="s">
        <v>22</v>
      </c>
      <c r="F227" s="383" t="s">
        <v>23</v>
      </c>
      <c r="G227" s="395">
        <v>46042</v>
      </c>
      <c r="H227" s="404" t="s">
        <v>670</v>
      </c>
      <c r="I227" s="408">
        <v>25060625</v>
      </c>
      <c r="J227" s="383" t="s">
        <v>671</v>
      </c>
      <c r="K227" s="383">
        <v>71982389937</v>
      </c>
      <c r="L227" s="383">
        <v>71982389937</v>
      </c>
      <c r="O227" s="389"/>
      <c r="Q227" s="467"/>
      <c r="R227" s="452"/>
      <c r="S227" s="453"/>
      <c r="T227" s="453"/>
      <c r="U227" s="453"/>
      <c r="V227" s="453"/>
      <c r="W227" s="453"/>
      <c r="X227" s="453"/>
      <c r="Y227" s="453"/>
      <c r="Z227" s="453"/>
      <c r="AA227" s="453"/>
      <c r="AB227" s="453"/>
      <c r="AC227" s="453"/>
      <c r="AD227" s="453"/>
      <c r="AE227" s="453"/>
      <c r="AF227" s="453"/>
      <c r="AG227" s="453"/>
      <c r="AH227" s="453"/>
      <c r="AI227" s="453"/>
      <c r="AJ227" s="453"/>
      <c r="AK227" s="453"/>
      <c r="AL227" s="453"/>
      <c r="AM227" s="453"/>
      <c r="AN227" s="453"/>
      <c r="AO227" s="453"/>
      <c r="AP227" s="453"/>
      <c r="AQ227" s="453"/>
      <c r="AR227" s="453"/>
      <c r="AS227" s="453"/>
      <c r="AT227" s="453"/>
      <c r="AU227" s="453"/>
      <c r="AV227" s="453"/>
      <c r="AW227" s="453"/>
      <c r="AX227" s="453"/>
      <c r="AY227" s="453"/>
      <c r="AZ227" s="453"/>
      <c r="BA227" s="453"/>
      <c r="BB227" s="453"/>
      <c r="BC227" s="453"/>
      <c r="BD227" s="453"/>
      <c r="BE227" s="453"/>
      <c r="BF227" s="453"/>
      <c r="BG227" s="453"/>
      <c r="BH227" s="453"/>
      <c r="BI227" s="453"/>
      <c r="BJ227" s="453"/>
      <c r="BK227" s="454"/>
    </row>
    <row r="228" spans="1:63" s="425" customFormat="1" ht="27" hidden="1" customHeight="1" x14ac:dyDescent="0.25">
      <c r="A228" s="383" t="s">
        <v>19</v>
      </c>
      <c r="B228" s="383">
        <v>101631</v>
      </c>
      <c r="C228" s="389" t="s">
        <v>20</v>
      </c>
      <c r="D228" s="389" t="s">
        <v>27</v>
      </c>
      <c r="E228" s="383" t="s">
        <v>22</v>
      </c>
      <c r="F228" s="383" t="s">
        <v>23</v>
      </c>
      <c r="G228" s="395">
        <v>46043</v>
      </c>
      <c r="H228" s="404" t="s">
        <v>672</v>
      </c>
      <c r="I228" s="408">
        <v>25060479</v>
      </c>
      <c r="J228" s="469" t="s">
        <v>673</v>
      </c>
      <c r="K228" s="383" t="s">
        <v>674</v>
      </c>
      <c r="L228" s="383" t="s">
        <v>674</v>
      </c>
      <c r="M228" s="383" t="s">
        <v>70</v>
      </c>
      <c r="O228" s="426"/>
      <c r="P228" s="425" t="s">
        <v>97</v>
      </c>
      <c r="Q228" s="430"/>
      <c r="R228" s="431"/>
      <c r="S228" s="432"/>
      <c r="T228" s="432"/>
      <c r="U228" s="432"/>
      <c r="V228" s="432"/>
      <c r="W228" s="432"/>
      <c r="X228" s="432"/>
      <c r="Y228" s="432"/>
      <c r="Z228" s="432"/>
      <c r="AA228" s="432"/>
      <c r="AB228" s="432"/>
      <c r="AC228" s="432"/>
      <c r="AD228" s="432"/>
      <c r="AE228" s="432"/>
      <c r="AF228" s="432"/>
      <c r="AG228" s="432"/>
      <c r="AH228" s="432"/>
      <c r="AI228" s="432"/>
      <c r="AJ228" s="432"/>
      <c r="AK228" s="432"/>
      <c r="AL228" s="432"/>
      <c r="AM228" s="432"/>
      <c r="AN228" s="432"/>
      <c r="AO228" s="432"/>
      <c r="AP228" s="432"/>
      <c r="AQ228" s="432"/>
      <c r="AR228" s="432"/>
      <c r="AS228" s="432"/>
      <c r="AT228" s="432"/>
      <c r="AU228" s="432"/>
      <c r="AV228" s="432"/>
      <c r="AW228" s="432"/>
      <c r="AX228" s="432"/>
      <c r="AY228" s="432"/>
      <c r="AZ228" s="432"/>
      <c r="BA228" s="432"/>
      <c r="BB228" s="432"/>
      <c r="BC228" s="432"/>
      <c r="BD228" s="432"/>
      <c r="BE228" s="432"/>
      <c r="BF228" s="432"/>
      <c r="BG228" s="432"/>
      <c r="BH228" s="432"/>
      <c r="BI228" s="432"/>
      <c r="BJ228" s="432"/>
      <c r="BK228" s="433"/>
    </row>
    <row r="229" spans="1:63" s="471" customFormat="1" ht="21" hidden="1" customHeight="1" x14ac:dyDescent="0.25">
      <c r="A229" s="471" t="s">
        <v>19</v>
      </c>
      <c r="B229" s="471">
        <v>101626</v>
      </c>
      <c r="C229" s="472" t="s">
        <v>20</v>
      </c>
      <c r="D229" s="472" t="s">
        <v>21</v>
      </c>
      <c r="E229" s="471" t="s">
        <v>22</v>
      </c>
      <c r="F229" s="471" t="s">
        <v>23</v>
      </c>
      <c r="G229" s="473">
        <v>46031</v>
      </c>
      <c r="H229" s="474" t="s">
        <v>675</v>
      </c>
      <c r="I229" s="475">
        <v>25057601</v>
      </c>
      <c r="J229" s="476" t="s">
        <v>676</v>
      </c>
      <c r="M229" s="471" t="s">
        <v>540</v>
      </c>
      <c r="O229" s="472"/>
      <c r="Q229" s="477"/>
      <c r="R229" s="478"/>
      <c r="S229" s="479"/>
      <c r="T229" s="479"/>
      <c r="U229" s="479"/>
      <c r="V229" s="479"/>
      <c r="W229" s="479"/>
      <c r="X229" s="479"/>
      <c r="Y229" s="479"/>
      <c r="Z229" s="479"/>
      <c r="AA229" s="479"/>
      <c r="AB229" s="479"/>
      <c r="AC229" s="479"/>
      <c r="AD229" s="479"/>
      <c r="AE229" s="479"/>
      <c r="AF229" s="479"/>
      <c r="AG229" s="479"/>
      <c r="AH229" s="479"/>
      <c r="AI229" s="479"/>
      <c r="AJ229" s="479"/>
      <c r="AK229" s="479"/>
      <c r="AL229" s="479"/>
      <c r="AM229" s="479"/>
      <c r="AN229" s="479"/>
      <c r="AO229" s="479"/>
      <c r="AP229" s="479"/>
      <c r="AQ229" s="479"/>
      <c r="AR229" s="479"/>
      <c r="AS229" s="479"/>
      <c r="AT229" s="479"/>
      <c r="AU229" s="479"/>
      <c r="AV229" s="479"/>
      <c r="AW229" s="479"/>
      <c r="AX229" s="479"/>
      <c r="AY229" s="479"/>
      <c r="AZ229" s="479"/>
      <c r="BA229" s="479"/>
      <c r="BB229" s="479"/>
      <c r="BC229" s="479"/>
      <c r="BD229" s="479"/>
      <c r="BE229" s="479"/>
      <c r="BF229" s="479"/>
      <c r="BG229" s="479"/>
      <c r="BH229" s="479"/>
      <c r="BI229" s="479"/>
      <c r="BJ229" s="479"/>
      <c r="BK229" s="480"/>
    </row>
    <row r="230" spans="1:63" ht="21" hidden="1" customHeight="1" x14ac:dyDescent="0.25">
      <c r="A230" s="546" t="s">
        <v>19</v>
      </c>
      <c r="B230" s="546">
        <v>101631</v>
      </c>
      <c r="C230" s="547" t="s">
        <v>20</v>
      </c>
      <c r="D230" s="547" t="s">
        <v>27</v>
      </c>
      <c r="E230" s="546" t="s">
        <v>22</v>
      </c>
      <c r="F230" s="546" t="s">
        <v>23</v>
      </c>
      <c r="G230" s="548">
        <v>46041</v>
      </c>
      <c r="H230" s="549" t="s">
        <v>677</v>
      </c>
      <c r="I230" s="550">
        <v>25060284</v>
      </c>
      <c r="J230" s="556" t="s">
        <v>678</v>
      </c>
      <c r="K230" s="546">
        <v>71996882184</v>
      </c>
      <c r="L230" s="546">
        <v>71996882184</v>
      </c>
      <c r="M230" s="546" t="s">
        <v>70</v>
      </c>
      <c r="O230" s="547" t="s">
        <v>75</v>
      </c>
    </row>
    <row r="231" spans="1:63" s="425" customFormat="1" ht="24.75" hidden="1" customHeight="1" x14ac:dyDescent="0.25">
      <c r="A231" s="435" t="s">
        <v>19</v>
      </c>
      <c r="B231" s="435">
        <v>101626</v>
      </c>
      <c r="C231" s="419" t="s">
        <v>20</v>
      </c>
      <c r="D231" s="419" t="s">
        <v>21</v>
      </c>
      <c r="E231" s="435" t="s">
        <v>22</v>
      </c>
      <c r="F231" s="435" t="s">
        <v>23</v>
      </c>
      <c r="G231" s="438">
        <v>46042</v>
      </c>
      <c r="H231" s="403" t="s">
        <v>679</v>
      </c>
      <c r="I231" s="448">
        <v>25060678</v>
      </c>
      <c r="J231" s="435" t="s">
        <v>680</v>
      </c>
      <c r="K231" s="435">
        <v>73999430934</v>
      </c>
      <c r="L231" s="435">
        <v>73999430934</v>
      </c>
      <c r="M231" s="435" t="s">
        <v>70</v>
      </c>
      <c r="O231" s="426"/>
      <c r="Q231" s="430"/>
      <c r="R231" s="431"/>
      <c r="S231" s="432"/>
      <c r="T231" s="432"/>
      <c r="U231" s="432"/>
      <c r="V231" s="432"/>
      <c r="W231" s="432"/>
      <c r="X231" s="432"/>
      <c r="Y231" s="432"/>
      <c r="Z231" s="432"/>
      <c r="AA231" s="432"/>
      <c r="AB231" s="432"/>
      <c r="AC231" s="432"/>
      <c r="AD231" s="432"/>
      <c r="AE231" s="432"/>
      <c r="AF231" s="432"/>
      <c r="AG231" s="432"/>
      <c r="AH231" s="432"/>
      <c r="AI231" s="432"/>
      <c r="AJ231" s="432"/>
      <c r="AK231" s="432"/>
      <c r="AL231" s="432"/>
      <c r="AM231" s="432"/>
      <c r="AN231" s="432"/>
      <c r="AO231" s="432"/>
      <c r="AP231" s="432"/>
      <c r="AQ231" s="432"/>
      <c r="AR231" s="432"/>
      <c r="AS231" s="432"/>
      <c r="AT231" s="432"/>
      <c r="AU231" s="432"/>
      <c r="AV231" s="432"/>
      <c r="AW231" s="432"/>
      <c r="AX231" s="432"/>
      <c r="AY231" s="432"/>
      <c r="AZ231" s="432"/>
      <c r="BA231" s="432"/>
      <c r="BB231" s="432"/>
      <c r="BC231" s="432"/>
      <c r="BD231" s="432"/>
      <c r="BE231" s="432"/>
      <c r="BF231" s="432"/>
      <c r="BG231" s="432"/>
      <c r="BH231" s="432"/>
      <c r="BI231" s="432"/>
      <c r="BJ231" s="432"/>
      <c r="BK231" s="433"/>
    </row>
    <row r="232" spans="1:63" s="425" customFormat="1" ht="25.5" hidden="1" customHeight="1" x14ac:dyDescent="0.25">
      <c r="A232" s="435" t="s">
        <v>19</v>
      </c>
      <c r="B232" s="435">
        <v>101622</v>
      </c>
      <c r="C232" s="419" t="s">
        <v>20</v>
      </c>
      <c r="D232" s="419" t="s">
        <v>31</v>
      </c>
      <c r="E232" s="435" t="s">
        <v>32</v>
      </c>
      <c r="F232" s="435" t="s">
        <v>23</v>
      </c>
      <c r="G232" s="438">
        <v>46042</v>
      </c>
      <c r="H232" s="403" t="s">
        <v>681</v>
      </c>
      <c r="I232" s="448">
        <v>232968143</v>
      </c>
      <c r="J232" s="435" t="s">
        <v>682</v>
      </c>
      <c r="K232" s="435">
        <v>71996951434</v>
      </c>
      <c r="L232" s="435">
        <v>71996951434</v>
      </c>
      <c r="M232" s="435" t="s">
        <v>70</v>
      </c>
      <c r="O232" s="426"/>
      <c r="Q232" s="430"/>
      <c r="R232" s="431"/>
      <c r="S232" s="432"/>
      <c r="T232" s="432"/>
      <c r="U232" s="432"/>
      <c r="V232" s="432"/>
      <c r="W232" s="432"/>
      <c r="X232" s="432"/>
      <c r="Y232" s="432"/>
      <c r="Z232" s="432"/>
      <c r="AA232" s="432"/>
      <c r="AB232" s="432"/>
      <c r="AC232" s="432"/>
      <c r="AD232" s="432"/>
      <c r="AE232" s="432"/>
      <c r="AF232" s="432"/>
      <c r="AG232" s="432"/>
      <c r="AH232" s="432"/>
      <c r="AI232" s="432"/>
      <c r="AJ232" s="432"/>
      <c r="AK232" s="432"/>
      <c r="AL232" s="432"/>
      <c r="AM232" s="432"/>
      <c r="AN232" s="432"/>
      <c r="AO232" s="432"/>
      <c r="AP232" s="432"/>
      <c r="AQ232" s="432"/>
      <c r="AR232" s="432"/>
      <c r="AS232" s="432"/>
      <c r="AT232" s="432"/>
      <c r="AU232" s="432"/>
      <c r="AV232" s="432"/>
      <c r="AW232" s="432"/>
      <c r="AX232" s="432"/>
      <c r="AY232" s="432"/>
      <c r="AZ232" s="432"/>
      <c r="BA232" s="432"/>
      <c r="BB232" s="432"/>
      <c r="BC232" s="432"/>
      <c r="BD232" s="432"/>
      <c r="BE232" s="432"/>
      <c r="BF232" s="432"/>
      <c r="BG232" s="432"/>
      <c r="BH232" s="432"/>
      <c r="BI232" s="432"/>
      <c r="BJ232" s="432"/>
      <c r="BK232" s="433"/>
    </row>
    <row r="233" spans="1:63" s="425" customFormat="1" ht="21" hidden="1" customHeight="1" x14ac:dyDescent="0.25">
      <c r="A233" s="435" t="s">
        <v>19</v>
      </c>
      <c r="B233" s="435">
        <v>101626</v>
      </c>
      <c r="C233" s="419" t="s">
        <v>20</v>
      </c>
      <c r="D233" s="419" t="s">
        <v>21</v>
      </c>
      <c r="E233" s="435" t="s">
        <v>22</v>
      </c>
      <c r="F233" s="435" t="s">
        <v>23</v>
      </c>
      <c r="G233" s="438">
        <v>46042</v>
      </c>
      <c r="H233" s="403" t="s">
        <v>683</v>
      </c>
      <c r="I233" s="448">
        <v>25060824</v>
      </c>
      <c r="J233" s="435" t="s">
        <v>684</v>
      </c>
      <c r="K233" s="435">
        <v>75999084086</v>
      </c>
      <c r="L233" s="435">
        <v>75999084086</v>
      </c>
      <c r="M233" s="435" t="s">
        <v>70</v>
      </c>
      <c r="O233" s="426"/>
      <c r="Q233" s="430"/>
      <c r="R233" s="431"/>
      <c r="S233" s="432"/>
      <c r="T233" s="432"/>
      <c r="U233" s="432"/>
      <c r="V233" s="432"/>
      <c r="W233" s="432"/>
      <c r="X233" s="432"/>
      <c r="Y233" s="432"/>
      <c r="Z233" s="432"/>
      <c r="AA233" s="432"/>
      <c r="AB233" s="432"/>
      <c r="AC233" s="432"/>
      <c r="AD233" s="432"/>
      <c r="AE233" s="432"/>
      <c r="AF233" s="432"/>
      <c r="AG233" s="432"/>
      <c r="AH233" s="432"/>
      <c r="AI233" s="432"/>
      <c r="AJ233" s="432"/>
      <c r="AK233" s="432"/>
      <c r="AL233" s="432"/>
      <c r="AM233" s="432"/>
      <c r="AN233" s="432"/>
      <c r="AO233" s="432"/>
      <c r="AP233" s="432"/>
      <c r="AQ233" s="432"/>
      <c r="AR233" s="432"/>
      <c r="AS233" s="432"/>
      <c r="AT233" s="432"/>
      <c r="AU233" s="432"/>
      <c r="AV233" s="432"/>
      <c r="AW233" s="432"/>
      <c r="AX233" s="432"/>
      <c r="AY233" s="432"/>
      <c r="AZ233" s="432"/>
      <c r="BA233" s="432"/>
      <c r="BB233" s="432"/>
      <c r="BC233" s="432"/>
      <c r="BD233" s="432"/>
      <c r="BE233" s="432"/>
      <c r="BF233" s="432"/>
      <c r="BG233" s="432"/>
      <c r="BH233" s="432"/>
      <c r="BI233" s="432"/>
      <c r="BJ233" s="432"/>
      <c r="BK233" s="433"/>
    </row>
    <row r="234" spans="1:63" s="425" customFormat="1" ht="21" hidden="1" customHeight="1" x14ac:dyDescent="0.25">
      <c r="A234" s="435" t="s">
        <v>19</v>
      </c>
      <c r="B234" s="435">
        <v>101627</v>
      </c>
      <c r="C234" s="419" t="s">
        <v>20</v>
      </c>
      <c r="D234" s="419" t="s">
        <v>44</v>
      </c>
      <c r="E234" s="435" t="s">
        <v>22</v>
      </c>
      <c r="F234" s="435" t="s">
        <v>23</v>
      </c>
      <c r="G234" s="438">
        <v>46043</v>
      </c>
      <c r="H234" s="403" t="s">
        <v>685</v>
      </c>
      <c r="I234" s="448">
        <v>25057656</v>
      </c>
      <c r="J234" s="435" t="s">
        <v>686</v>
      </c>
      <c r="K234" s="435">
        <v>71982446422</v>
      </c>
      <c r="L234" s="435">
        <v>71982446422</v>
      </c>
      <c r="M234" s="435" t="s">
        <v>70</v>
      </c>
      <c r="O234" s="426"/>
      <c r="Q234" s="430"/>
      <c r="R234" s="431"/>
      <c r="S234" s="432"/>
      <c r="T234" s="432"/>
      <c r="U234" s="432"/>
      <c r="V234" s="432"/>
      <c r="W234" s="432"/>
      <c r="X234" s="432"/>
      <c r="Y234" s="432"/>
      <c r="Z234" s="432"/>
      <c r="AA234" s="432"/>
      <c r="AB234" s="432"/>
      <c r="AC234" s="432"/>
      <c r="AD234" s="432"/>
      <c r="AE234" s="432"/>
      <c r="AF234" s="432"/>
      <c r="AG234" s="432"/>
      <c r="AH234" s="432"/>
      <c r="AI234" s="432"/>
      <c r="AJ234" s="432"/>
      <c r="AK234" s="432"/>
      <c r="AL234" s="432"/>
      <c r="AM234" s="432"/>
      <c r="AN234" s="432"/>
      <c r="AO234" s="432"/>
      <c r="AP234" s="432"/>
      <c r="AQ234" s="432"/>
      <c r="AR234" s="432"/>
      <c r="AS234" s="432"/>
      <c r="AT234" s="432"/>
      <c r="AU234" s="432"/>
      <c r="AV234" s="432"/>
      <c r="AW234" s="432"/>
      <c r="AX234" s="432"/>
      <c r="AY234" s="432"/>
      <c r="AZ234" s="432"/>
      <c r="BA234" s="432"/>
      <c r="BB234" s="432"/>
      <c r="BC234" s="432"/>
      <c r="BD234" s="432"/>
      <c r="BE234" s="432"/>
      <c r="BF234" s="432"/>
      <c r="BG234" s="432"/>
      <c r="BH234" s="432"/>
      <c r="BI234" s="432"/>
      <c r="BJ234" s="432"/>
      <c r="BK234" s="433"/>
    </row>
    <row r="235" spans="1:63" s="425" customFormat="1" ht="21" hidden="1" customHeight="1" x14ac:dyDescent="0.25">
      <c r="A235" s="435" t="s">
        <v>19</v>
      </c>
      <c r="B235" s="425">
        <v>101628</v>
      </c>
      <c r="C235" s="419" t="s">
        <v>20</v>
      </c>
      <c r="D235" s="426" t="s">
        <v>252</v>
      </c>
      <c r="E235" s="435" t="s">
        <v>22</v>
      </c>
      <c r="F235" s="435" t="s">
        <v>23</v>
      </c>
      <c r="G235" s="427">
        <v>46043</v>
      </c>
      <c r="H235" s="428" t="s">
        <v>687</v>
      </c>
      <c r="I235" s="429">
        <v>25061265</v>
      </c>
      <c r="J235" s="464" t="s">
        <v>688</v>
      </c>
      <c r="K235" s="425">
        <v>11970191448</v>
      </c>
      <c r="L235" s="425">
        <v>11970191448</v>
      </c>
      <c r="O235" s="426"/>
      <c r="Q235" s="430"/>
      <c r="R235" s="431"/>
      <c r="S235" s="432"/>
      <c r="T235" s="432"/>
      <c r="U235" s="432"/>
      <c r="V235" s="432"/>
      <c r="W235" s="432"/>
      <c r="X235" s="432"/>
      <c r="Y235" s="432"/>
      <c r="Z235" s="432"/>
      <c r="AA235" s="432"/>
      <c r="AB235" s="432"/>
      <c r="AC235" s="432"/>
      <c r="AD235" s="432"/>
      <c r="AE235" s="432"/>
      <c r="AF235" s="432"/>
      <c r="AG235" s="432"/>
      <c r="AH235" s="432"/>
      <c r="AI235" s="432"/>
      <c r="AJ235" s="432"/>
      <c r="AK235" s="432"/>
      <c r="AL235" s="432"/>
      <c r="AM235" s="432"/>
      <c r="AN235" s="432"/>
      <c r="AO235" s="432"/>
      <c r="AP235" s="432"/>
      <c r="AQ235" s="432"/>
      <c r="AR235" s="432"/>
      <c r="AS235" s="432"/>
      <c r="AT235" s="432"/>
      <c r="AU235" s="432"/>
      <c r="AV235" s="432"/>
      <c r="AW235" s="432"/>
      <c r="AX235" s="432"/>
      <c r="AY235" s="432"/>
      <c r="AZ235" s="432"/>
      <c r="BA235" s="432"/>
      <c r="BB235" s="432"/>
      <c r="BC235" s="432"/>
      <c r="BD235" s="432"/>
      <c r="BE235" s="432"/>
      <c r="BF235" s="432"/>
      <c r="BG235" s="432"/>
      <c r="BH235" s="432"/>
      <c r="BI235" s="432"/>
      <c r="BJ235" s="432"/>
      <c r="BK235" s="433"/>
    </row>
    <row r="236" spans="1:63" s="425" customFormat="1" ht="21" hidden="1" customHeight="1" x14ac:dyDescent="0.25">
      <c r="A236" s="435" t="s">
        <v>19</v>
      </c>
      <c r="B236" s="425">
        <v>101626</v>
      </c>
      <c r="C236" s="426" t="s">
        <v>20</v>
      </c>
      <c r="D236" s="426" t="s">
        <v>21</v>
      </c>
      <c r="E236" s="435" t="s">
        <v>22</v>
      </c>
      <c r="F236" s="435" t="s">
        <v>23</v>
      </c>
      <c r="G236" s="427">
        <v>46043</v>
      </c>
      <c r="H236" s="428" t="s">
        <v>689</v>
      </c>
      <c r="I236" s="429">
        <v>25061043</v>
      </c>
      <c r="J236" s="464" t="s">
        <v>690</v>
      </c>
      <c r="K236" s="425">
        <v>71984810207</v>
      </c>
      <c r="L236" s="425">
        <v>71984810207</v>
      </c>
      <c r="M236" s="425" t="s">
        <v>70</v>
      </c>
      <c r="O236" s="426" t="s">
        <v>691</v>
      </c>
      <c r="Q236" s="430"/>
      <c r="R236" s="431"/>
      <c r="S236" s="432"/>
      <c r="T236" s="432"/>
      <c r="U236" s="432"/>
      <c r="V236" s="432"/>
      <c r="W236" s="432"/>
      <c r="X236" s="432"/>
      <c r="Y236" s="432"/>
      <c r="Z236" s="432"/>
      <c r="AA236" s="432"/>
      <c r="AB236" s="432"/>
      <c r="AC236" s="432"/>
      <c r="AD236" s="432"/>
      <c r="AE236" s="432"/>
      <c r="AF236" s="432"/>
      <c r="AG236" s="432"/>
      <c r="AH236" s="432"/>
      <c r="AI236" s="432"/>
      <c r="AJ236" s="432"/>
      <c r="AK236" s="432"/>
      <c r="AL236" s="432"/>
      <c r="AM236" s="432"/>
      <c r="AN236" s="432"/>
      <c r="AO236" s="432"/>
      <c r="AP236" s="432"/>
      <c r="AQ236" s="432"/>
      <c r="AR236" s="432"/>
      <c r="AS236" s="432"/>
      <c r="AT236" s="432"/>
      <c r="AU236" s="432"/>
      <c r="AV236" s="432"/>
      <c r="AW236" s="432"/>
      <c r="AX236" s="432"/>
      <c r="AY236" s="432"/>
      <c r="AZ236" s="432"/>
      <c r="BA236" s="432"/>
      <c r="BB236" s="432"/>
      <c r="BC236" s="432"/>
      <c r="BD236" s="432"/>
      <c r="BE236" s="432"/>
      <c r="BF236" s="432"/>
      <c r="BG236" s="432"/>
      <c r="BH236" s="432"/>
      <c r="BI236" s="432"/>
      <c r="BJ236" s="432"/>
      <c r="BK236" s="433"/>
    </row>
    <row r="237" spans="1:63" s="425" customFormat="1" ht="21" hidden="1" customHeight="1" x14ac:dyDescent="0.25">
      <c r="A237" s="435" t="s">
        <v>19</v>
      </c>
      <c r="B237" s="435">
        <v>101631</v>
      </c>
      <c r="C237" s="419" t="s">
        <v>20</v>
      </c>
      <c r="D237" s="419" t="s">
        <v>27</v>
      </c>
      <c r="E237" s="435" t="s">
        <v>22</v>
      </c>
      <c r="F237" s="435" t="s">
        <v>23</v>
      </c>
      <c r="G237" s="438">
        <v>46037</v>
      </c>
      <c r="H237" s="403" t="s">
        <v>692</v>
      </c>
      <c r="I237" s="448">
        <v>25059095</v>
      </c>
      <c r="J237" s="465" t="s">
        <v>693</v>
      </c>
      <c r="K237" s="435">
        <v>71996669083</v>
      </c>
      <c r="L237" s="435">
        <v>71996669083</v>
      </c>
      <c r="M237" s="435" t="s">
        <v>70</v>
      </c>
      <c r="O237" s="426"/>
      <c r="Q237" s="430"/>
      <c r="R237" s="431"/>
      <c r="S237" s="432"/>
      <c r="T237" s="432"/>
      <c r="U237" s="432"/>
      <c r="V237" s="432"/>
      <c r="W237" s="432"/>
      <c r="X237" s="432"/>
      <c r="Y237" s="432"/>
      <c r="Z237" s="432"/>
      <c r="AA237" s="432"/>
      <c r="AB237" s="432"/>
      <c r="AC237" s="432"/>
      <c r="AD237" s="432"/>
      <c r="AE237" s="432"/>
      <c r="AF237" s="432"/>
      <c r="AG237" s="432"/>
      <c r="AH237" s="432"/>
      <c r="AI237" s="432"/>
      <c r="AJ237" s="432"/>
      <c r="AK237" s="432"/>
      <c r="AL237" s="432"/>
      <c r="AM237" s="432"/>
      <c r="AN237" s="432"/>
      <c r="AO237" s="432"/>
      <c r="AP237" s="432"/>
      <c r="AQ237" s="432"/>
      <c r="AR237" s="432"/>
      <c r="AS237" s="432"/>
      <c r="AT237" s="432"/>
      <c r="AU237" s="432"/>
      <c r="AV237" s="432"/>
      <c r="AW237" s="432"/>
      <c r="AX237" s="432"/>
      <c r="AY237" s="432"/>
      <c r="AZ237" s="432"/>
      <c r="BA237" s="432"/>
      <c r="BB237" s="432"/>
      <c r="BC237" s="432"/>
      <c r="BD237" s="432"/>
      <c r="BE237" s="432"/>
      <c r="BF237" s="432"/>
      <c r="BG237" s="432"/>
      <c r="BH237" s="432"/>
      <c r="BI237" s="432"/>
      <c r="BJ237" s="432"/>
      <c r="BK237" s="433"/>
    </row>
    <row r="238" spans="1:63" s="425" customFormat="1" ht="21" hidden="1" customHeight="1" x14ac:dyDescent="0.25">
      <c r="A238" s="435" t="s">
        <v>19</v>
      </c>
      <c r="B238" s="435">
        <v>101627</v>
      </c>
      <c r="C238" s="419" t="s">
        <v>20</v>
      </c>
      <c r="D238" s="419" t="s">
        <v>44</v>
      </c>
      <c r="E238" s="435" t="s">
        <v>22</v>
      </c>
      <c r="F238" s="435" t="s">
        <v>23</v>
      </c>
      <c r="G238" s="438">
        <v>46027</v>
      </c>
      <c r="H238" s="403" t="s">
        <v>694</v>
      </c>
      <c r="I238" s="448">
        <v>25056877</v>
      </c>
      <c r="J238" s="465" t="s">
        <v>695</v>
      </c>
      <c r="K238" s="435">
        <v>73991618500</v>
      </c>
      <c r="L238" s="435">
        <v>73991618500</v>
      </c>
      <c r="M238" s="435" t="s">
        <v>70</v>
      </c>
      <c r="O238" s="426"/>
      <c r="Q238" s="430"/>
      <c r="R238" s="431"/>
      <c r="S238" s="432"/>
      <c r="T238" s="432"/>
      <c r="U238" s="432"/>
      <c r="V238" s="432"/>
      <c r="W238" s="432"/>
      <c r="X238" s="432"/>
      <c r="Y238" s="432"/>
      <c r="Z238" s="432"/>
      <c r="AA238" s="432"/>
      <c r="AB238" s="432"/>
      <c r="AC238" s="432"/>
      <c r="AD238" s="432"/>
      <c r="AE238" s="432"/>
      <c r="AF238" s="432"/>
      <c r="AG238" s="432"/>
      <c r="AH238" s="432"/>
      <c r="AI238" s="432"/>
      <c r="AJ238" s="432"/>
      <c r="AK238" s="432"/>
      <c r="AL238" s="432"/>
      <c r="AM238" s="432"/>
      <c r="AN238" s="432"/>
      <c r="AO238" s="432"/>
      <c r="AP238" s="432"/>
      <c r="AQ238" s="432"/>
      <c r="AR238" s="432"/>
      <c r="AS238" s="432"/>
      <c r="AT238" s="432"/>
      <c r="AU238" s="432"/>
      <c r="AV238" s="432"/>
      <c r="AW238" s="432"/>
      <c r="AX238" s="432"/>
      <c r="AY238" s="432"/>
      <c r="AZ238" s="432"/>
      <c r="BA238" s="432"/>
      <c r="BB238" s="432"/>
      <c r="BC238" s="432"/>
      <c r="BD238" s="432"/>
      <c r="BE238" s="432"/>
      <c r="BF238" s="432"/>
      <c r="BG238" s="432"/>
      <c r="BH238" s="432"/>
      <c r="BI238" s="432"/>
      <c r="BJ238" s="432"/>
      <c r="BK238" s="433"/>
    </row>
    <row r="239" spans="1:63" s="383" customFormat="1" ht="21" hidden="1" customHeight="1" x14ac:dyDescent="0.25">
      <c r="A239" s="383" t="s">
        <v>19</v>
      </c>
      <c r="B239" s="383">
        <v>101631</v>
      </c>
      <c r="C239" s="389" t="s">
        <v>20</v>
      </c>
      <c r="D239" s="389" t="s">
        <v>27</v>
      </c>
      <c r="E239" s="383" t="s">
        <v>22</v>
      </c>
      <c r="F239" s="383" t="s">
        <v>23</v>
      </c>
      <c r="G239" s="395">
        <v>46045</v>
      </c>
      <c r="H239" s="404" t="s">
        <v>696</v>
      </c>
      <c r="I239" s="408">
        <v>15497683</v>
      </c>
      <c r="J239" s="383" t="s">
        <v>697</v>
      </c>
      <c r="K239" s="383">
        <v>71997059221</v>
      </c>
      <c r="L239" s="383">
        <v>71997059221</v>
      </c>
      <c r="M239" s="383" t="s">
        <v>498</v>
      </c>
      <c r="O239" s="389"/>
      <c r="Q239" s="467"/>
      <c r="R239" s="452"/>
      <c r="S239" s="453"/>
      <c r="T239" s="453"/>
      <c r="U239" s="453"/>
      <c r="V239" s="453"/>
      <c r="W239" s="453"/>
      <c r="X239" s="453"/>
      <c r="Y239" s="453"/>
      <c r="Z239" s="453"/>
      <c r="AA239" s="453"/>
      <c r="AB239" s="453"/>
      <c r="AC239" s="453"/>
      <c r="AD239" s="453"/>
      <c r="AE239" s="453"/>
      <c r="AF239" s="453"/>
      <c r="AG239" s="453"/>
      <c r="AH239" s="453"/>
      <c r="AI239" s="453"/>
      <c r="AJ239" s="453"/>
      <c r="AK239" s="453"/>
      <c r="AL239" s="453"/>
      <c r="AM239" s="453"/>
      <c r="AN239" s="453"/>
      <c r="AO239" s="453"/>
      <c r="AP239" s="453"/>
      <c r="AQ239" s="453"/>
      <c r="AR239" s="453"/>
      <c r="AS239" s="453"/>
      <c r="AT239" s="453"/>
      <c r="AU239" s="453"/>
      <c r="AV239" s="453"/>
      <c r="AW239" s="453"/>
      <c r="AX239" s="453"/>
      <c r="AY239" s="453"/>
      <c r="AZ239" s="453"/>
      <c r="BA239" s="453"/>
      <c r="BB239" s="453"/>
      <c r="BC239" s="453"/>
      <c r="BD239" s="453"/>
      <c r="BE239" s="453"/>
      <c r="BF239" s="453"/>
      <c r="BG239" s="453"/>
      <c r="BH239" s="453"/>
      <c r="BI239" s="453"/>
      <c r="BJ239" s="453"/>
      <c r="BK239" s="454"/>
    </row>
    <row r="240" spans="1:63" s="425" customFormat="1" ht="21" hidden="1" customHeight="1" x14ac:dyDescent="0.25">
      <c r="A240" s="435" t="s">
        <v>19</v>
      </c>
      <c r="B240" s="435">
        <v>101627</v>
      </c>
      <c r="C240" s="419" t="s">
        <v>20</v>
      </c>
      <c r="D240" s="419" t="s">
        <v>44</v>
      </c>
      <c r="E240" s="435" t="s">
        <v>22</v>
      </c>
      <c r="F240" s="435" t="s">
        <v>23</v>
      </c>
      <c r="G240" s="438">
        <v>46045</v>
      </c>
      <c r="H240" s="403" t="s">
        <v>698</v>
      </c>
      <c r="I240" s="448">
        <v>232980585</v>
      </c>
      <c r="J240" s="449" t="s">
        <v>699</v>
      </c>
      <c r="K240" s="435" t="s">
        <v>700</v>
      </c>
      <c r="L240" s="435" t="s">
        <v>700</v>
      </c>
      <c r="M240" s="435" t="s">
        <v>70</v>
      </c>
      <c r="O240" s="426"/>
      <c r="Q240" s="430"/>
      <c r="R240" s="431"/>
      <c r="S240" s="432"/>
      <c r="T240" s="432"/>
      <c r="U240" s="432"/>
      <c r="V240" s="432"/>
      <c r="W240" s="432"/>
      <c r="X240" s="432"/>
      <c r="Y240" s="432"/>
      <c r="Z240" s="432"/>
      <c r="AA240" s="432"/>
      <c r="AB240" s="432"/>
      <c r="AC240" s="432"/>
      <c r="AD240" s="432"/>
      <c r="AE240" s="432"/>
      <c r="AF240" s="432"/>
      <c r="AG240" s="432"/>
      <c r="AH240" s="432"/>
      <c r="AI240" s="432"/>
      <c r="AJ240" s="432"/>
      <c r="AK240" s="432"/>
      <c r="AL240" s="432"/>
      <c r="AM240" s="432"/>
      <c r="AN240" s="432"/>
      <c r="AO240" s="432"/>
      <c r="AP240" s="432"/>
      <c r="AQ240" s="432"/>
      <c r="AR240" s="432"/>
      <c r="AS240" s="432"/>
      <c r="AT240" s="432"/>
      <c r="AU240" s="432"/>
      <c r="AV240" s="432"/>
      <c r="AW240" s="432"/>
      <c r="AX240" s="432"/>
      <c r="AY240" s="432"/>
      <c r="AZ240" s="432"/>
      <c r="BA240" s="432"/>
      <c r="BB240" s="432"/>
      <c r="BC240" s="432"/>
      <c r="BD240" s="432"/>
      <c r="BE240" s="432"/>
      <c r="BF240" s="432"/>
      <c r="BG240" s="432"/>
      <c r="BH240" s="432"/>
      <c r="BI240" s="432"/>
      <c r="BJ240" s="432"/>
      <c r="BK240" s="433"/>
    </row>
    <row r="241" spans="1:63" s="425" customFormat="1" ht="21" hidden="1" customHeight="1" x14ac:dyDescent="0.25">
      <c r="A241" s="425" t="s">
        <v>19</v>
      </c>
      <c r="B241" s="425">
        <v>101628</v>
      </c>
      <c r="C241" s="426" t="s">
        <v>20</v>
      </c>
      <c r="D241" s="426" t="s">
        <v>252</v>
      </c>
      <c r="E241" s="425" t="s">
        <v>22</v>
      </c>
      <c r="F241" s="425" t="s">
        <v>23</v>
      </c>
      <c r="G241" s="427">
        <v>46010</v>
      </c>
      <c r="H241" s="428" t="s">
        <v>701</v>
      </c>
      <c r="I241" s="429">
        <v>162631100</v>
      </c>
      <c r="J241" s="463" t="s">
        <v>702</v>
      </c>
      <c r="K241" s="425">
        <v>71991407045</v>
      </c>
      <c r="L241" s="425">
        <v>71991407045</v>
      </c>
      <c r="M241" s="425" t="s">
        <v>333</v>
      </c>
      <c r="O241" s="426" t="s">
        <v>75</v>
      </c>
      <c r="Q241" s="430"/>
      <c r="R241" s="431"/>
      <c r="S241" s="432"/>
      <c r="T241" s="432"/>
      <c r="U241" s="432"/>
      <c r="V241" s="432"/>
      <c r="W241" s="432"/>
      <c r="X241" s="432"/>
      <c r="Y241" s="432"/>
      <c r="Z241" s="432"/>
      <c r="AA241" s="432"/>
      <c r="AB241" s="432"/>
      <c r="AC241" s="432"/>
      <c r="AD241" s="432"/>
      <c r="AE241" s="432"/>
      <c r="AF241" s="432"/>
      <c r="AG241" s="432"/>
      <c r="AH241" s="432"/>
      <c r="AI241" s="432"/>
      <c r="AJ241" s="432"/>
      <c r="AK241" s="432"/>
      <c r="AL241" s="432"/>
      <c r="AM241" s="432"/>
      <c r="AN241" s="432"/>
      <c r="AO241" s="432"/>
      <c r="AP241" s="432"/>
      <c r="AQ241" s="432"/>
      <c r="AR241" s="432"/>
      <c r="AS241" s="432"/>
      <c r="AT241" s="432"/>
      <c r="AU241" s="432"/>
      <c r="AV241" s="432"/>
      <c r="AW241" s="432"/>
      <c r="AX241" s="432"/>
      <c r="AY241" s="432"/>
      <c r="AZ241" s="432"/>
      <c r="BA241" s="432"/>
      <c r="BB241" s="432"/>
      <c r="BC241" s="432"/>
      <c r="BD241" s="432"/>
      <c r="BE241" s="432"/>
      <c r="BF241" s="432"/>
      <c r="BG241" s="432"/>
      <c r="BH241" s="432"/>
      <c r="BI241" s="432"/>
      <c r="BJ241" s="432"/>
      <c r="BK241" s="433"/>
    </row>
    <row r="242" spans="1:63" s="425" customFormat="1" ht="21" hidden="1" customHeight="1" x14ac:dyDescent="0.25">
      <c r="A242" s="435" t="s">
        <v>19</v>
      </c>
      <c r="B242" s="435">
        <v>101625</v>
      </c>
      <c r="C242" s="419" t="s">
        <v>20</v>
      </c>
      <c r="D242" s="419" t="s">
        <v>187</v>
      </c>
      <c r="E242" s="435" t="s">
        <v>22</v>
      </c>
      <c r="F242" s="435" t="s">
        <v>23</v>
      </c>
      <c r="G242" s="438">
        <v>46044</v>
      </c>
      <c r="H242" s="403" t="s">
        <v>703</v>
      </c>
      <c r="I242" s="448">
        <v>25061457</v>
      </c>
      <c r="J242" s="449" t="s">
        <v>704</v>
      </c>
      <c r="K242" s="435">
        <v>21967845626</v>
      </c>
      <c r="L242" s="435">
        <v>21967845626</v>
      </c>
      <c r="M242" s="435" t="s">
        <v>70</v>
      </c>
      <c r="O242" s="426" t="s">
        <v>705</v>
      </c>
      <c r="Q242" s="430"/>
      <c r="R242" s="431"/>
      <c r="S242" s="432"/>
      <c r="T242" s="432"/>
      <c r="U242" s="432"/>
      <c r="V242" s="432"/>
      <c r="W242" s="432"/>
      <c r="X242" s="432"/>
      <c r="Y242" s="432"/>
      <c r="Z242" s="432"/>
      <c r="AA242" s="432"/>
      <c r="AB242" s="432"/>
      <c r="AC242" s="432"/>
      <c r="AD242" s="432"/>
      <c r="AE242" s="432"/>
      <c r="AF242" s="432"/>
      <c r="AG242" s="432"/>
      <c r="AH242" s="432"/>
      <c r="AI242" s="432"/>
      <c r="AJ242" s="432"/>
      <c r="AK242" s="432"/>
      <c r="AL242" s="432"/>
      <c r="AM242" s="432"/>
      <c r="AN242" s="432"/>
      <c r="AO242" s="432"/>
      <c r="AP242" s="432"/>
      <c r="AQ242" s="432"/>
      <c r="AR242" s="432"/>
      <c r="AS242" s="432"/>
      <c r="AT242" s="432"/>
      <c r="AU242" s="432"/>
      <c r="AV242" s="432"/>
      <c r="AW242" s="432"/>
      <c r="AX242" s="432"/>
      <c r="AY242" s="432"/>
      <c r="AZ242" s="432"/>
      <c r="BA242" s="432"/>
      <c r="BB242" s="432"/>
      <c r="BC242" s="432"/>
      <c r="BD242" s="432"/>
      <c r="BE242" s="432"/>
      <c r="BF242" s="432"/>
      <c r="BG242" s="432"/>
      <c r="BH242" s="432"/>
      <c r="BI242" s="432"/>
      <c r="BJ242" s="432"/>
      <c r="BK242" s="433"/>
    </row>
    <row r="243" spans="1:63" s="425" customFormat="1" ht="21" hidden="1" customHeight="1" x14ac:dyDescent="0.25">
      <c r="A243" s="435" t="s">
        <v>19</v>
      </c>
      <c r="B243" s="435">
        <v>101628</v>
      </c>
      <c r="C243" s="419" t="s">
        <v>20</v>
      </c>
      <c r="D243" s="419" t="s">
        <v>252</v>
      </c>
      <c r="E243" s="435" t="s">
        <v>22</v>
      </c>
      <c r="F243" s="435" t="s">
        <v>23</v>
      </c>
      <c r="G243" s="438">
        <v>45980</v>
      </c>
      <c r="H243" s="403" t="s">
        <v>706</v>
      </c>
      <c r="I243" s="448">
        <v>25051547</v>
      </c>
      <c r="J243" s="435" t="s">
        <v>707</v>
      </c>
      <c r="K243" s="435">
        <v>71992506078</v>
      </c>
      <c r="L243" s="435">
        <v>71992506078</v>
      </c>
      <c r="M243" s="435" t="s">
        <v>70</v>
      </c>
      <c r="O243" s="426"/>
      <c r="Q243" s="430"/>
      <c r="R243" s="431"/>
      <c r="S243" s="432"/>
      <c r="T243" s="432"/>
      <c r="U243" s="432"/>
      <c r="V243" s="432"/>
      <c r="W243" s="432"/>
      <c r="X243" s="432"/>
      <c r="Y243" s="432"/>
      <c r="Z243" s="432"/>
      <c r="AA243" s="432"/>
      <c r="AB243" s="432"/>
      <c r="AC243" s="432"/>
      <c r="AD243" s="432"/>
      <c r="AE243" s="432"/>
      <c r="AF243" s="432"/>
      <c r="AG243" s="432"/>
      <c r="AH243" s="432"/>
      <c r="AI243" s="432"/>
      <c r="AJ243" s="432"/>
      <c r="AK243" s="432"/>
      <c r="AL243" s="432"/>
      <c r="AM243" s="432"/>
      <c r="AN243" s="432"/>
      <c r="AO243" s="432"/>
      <c r="AP243" s="432"/>
      <c r="AQ243" s="432"/>
      <c r="AR243" s="432"/>
      <c r="AS243" s="432"/>
      <c r="AT243" s="432"/>
      <c r="AU243" s="432"/>
      <c r="AV243" s="432"/>
      <c r="AW243" s="432"/>
      <c r="AX243" s="432"/>
      <c r="AY243" s="432"/>
      <c r="AZ243" s="432"/>
      <c r="BA243" s="432"/>
      <c r="BB243" s="432"/>
      <c r="BC243" s="432"/>
      <c r="BD243" s="432"/>
      <c r="BE243" s="432"/>
      <c r="BF243" s="432"/>
      <c r="BG243" s="432"/>
      <c r="BH243" s="432"/>
      <c r="BI243" s="432"/>
      <c r="BJ243" s="432"/>
      <c r="BK243" s="433"/>
    </row>
    <row r="244" spans="1:63" ht="27" hidden="1" customHeight="1" x14ac:dyDescent="0.25">
      <c r="A244" s="546" t="s">
        <v>19</v>
      </c>
      <c r="B244" s="546">
        <v>101626</v>
      </c>
      <c r="C244" s="547" t="s">
        <v>20</v>
      </c>
      <c r="D244" s="547" t="s">
        <v>21</v>
      </c>
      <c r="E244" s="546" t="s">
        <v>22</v>
      </c>
      <c r="F244" s="546" t="s">
        <v>23</v>
      </c>
      <c r="G244" s="548">
        <v>46010</v>
      </c>
      <c r="H244" s="549" t="s">
        <v>708</v>
      </c>
      <c r="I244" s="550">
        <v>25008001</v>
      </c>
      <c r="J244" s="546" t="s">
        <v>709</v>
      </c>
      <c r="K244" s="546">
        <v>71999681407</v>
      </c>
      <c r="L244" s="546">
        <v>71981689788</v>
      </c>
      <c r="M244" s="546" t="s">
        <v>70</v>
      </c>
      <c r="O244" s="547" t="s">
        <v>75</v>
      </c>
      <c r="R244" s="553" t="s">
        <v>710</v>
      </c>
    </row>
    <row r="245" spans="1:63" s="425" customFormat="1" ht="21" hidden="1" customHeight="1" x14ac:dyDescent="0.25">
      <c r="A245" s="435" t="s">
        <v>19</v>
      </c>
      <c r="B245" s="435">
        <v>101627</v>
      </c>
      <c r="C245" s="419" t="s">
        <v>20</v>
      </c>
      <c r="D245" s="419" t="s">
        <v>44</v>
      </c>
      <c r="E245" s="435" t="s">
        <v>22</v>
      </c>
      <c r="F245" s="435" t="s">
        <v>23</v>
      </c>
      <c r="G245" s="438">
        <v>46020</v>
      </c>
      <c r="H245" s="403" t="s">
        <v>711</v>
      </c>
      <c r="I245" s="448">
        <v>25056502</v>
      </c>
      <c r="J245" s="435" t="s">
        <v>712</v>
      </c>
      <c r="K245" s="435">
        <v>71997241743</v>
      </c>
      <c r="L245" s="435">
        <v>71997241743</v>
      </c>
      <c r="M245" s="435" t="s">
        <v>70</v>
      </c>
      <c r="O245" s="426"/>
      <c r="Q245" s="430"/>
      <c r="R245" s="431"/>
      <c r="S245" s="432"/>
      <c r="T245" s="432"/>
      <c r="U245" s="432"/>
      <c r="V245" s="432"/>
      <c r="W245" s="432"/>
      <c r="X245" s="432"/>
      <c r="Y245" s="432"/>
      <c r="Z245" s="432"/>
      <c r="AA245" s="432"/>
      <c r="AB245" s="432"/>
      <c r="AC245" s="432"/>
      <c r="AD245" s="432"/>
      <c r="AE245" s="432"/>
      <c r="AF245" s="432"/>
      <c r="AG245" s="432"/>
      <c r="AH245" s="432"/>
      <c r="AI245" s="432"/>
      <c r="AJ245" s="432"/>
      <c r="AK245" s="432"/>
      <c r="AL245" s="432"/>
      <c r="AM245" s="432"/>
      <c r="AN245" s="432"/>
      <c r="AO245" s="432"/>
      <c r="AP245" s="432"/>
      <c r="AQ245" s="432"/>
      <c r="AR245" s="432"/>
      <c r="AS245" s="432"/>
      <c r="AT245" s="432"/>
      <c r="AU245" s="432"/>
      <c r="AV245" s="432"/>
      <c r="AW245" s="432"/>
      <c r="AX245" s="432"/>
      <c r="AY245" s="432"/>
      <c r="AZ245" s="432"/>
      <c r="BA245" s="432"/>
      <c r="BB245" s="432"/>
      <c r="BC245" s="432"/>
      <c r="BD245" s="432"/>
      <c r="BE245" s="432"/>
      <c r="BF245" s="432"/>
      <c r="BG245" s="432"/>
      <c r="BH245" s="432"/>
      <c r="BI245" s="432"/>
      <c r="BJ245" s="432"/>
      <c r="BK245" s="433"/>
    </row>
    <row r="246" spans="1:63" s="425" customFormat="1" ht="21" hidden="1" customHeight="1" x14ac:dyDescent="0.25">
      <c r="A246" s="435" t="s">
        <v>19</v>
      </c>
      <c r="B246" s="435">
        <v>101627</v>
      </c>
      <c r="C246" s="419" t="s">
        <v>20</v>
      </c>
      <c r="D246" s="419" t="s">
        <v>44</v>
      </c>
      <c r="E246" s="435" t="s">
        <v>22</v>
      </c>
      <c r="F246" s="435" t="s">
        <v>23</v>
      </c>
      <c r="G246" s="438">
        <v>46024</v>
      </c>
      <c r="H246" s="403" t="s">
        <v>713</v>
      </c>
      <c r="I246" s="448">
        <v>25056120</v>
      </c>
      <c r="J246" s="435" t="s">
        <v>714</v>
      </c>
      <c r="K246" s="435">
        <v>71983312528</v>
      </c>
      <c r="L246" s="435">
        <v>71983312528</v>
      </c>
      <c r="M246" s="435" t="s">
        <v>70</v>
      </c>
      <c r="O246" s="426" t="s">
        <v>75</v>
      </c>
      <c r="Q246" s="430"/>
      <c r="R246" s="431"/>
      <c r="S246" s="432"/>
      <c r="T246" s="432"/>
      <c r="U246" s="432"/>
      <c r="V246" s="432"/>
      <c r="W246" s="432"/>
      <c r="X246" s="432"/>
      <c r="Y246" s="432"/>
      <c r="Z246" s="432"/>
      <c r="AA246" s="432"/>
      <c r="AB246" s="432"/>
      <c r="AC246" s="432"/>
      <c r="AD246" s="432"/>
      <c r="AE246" s="432"/>
      <c r="AF246" s="432"/>
      <c r="AG246" s="432"/>
      <c r="AH246" s="432"/>
      <c r="AI246" s="432"/>
      <c r="AJ246" s="432"/>
      <c r="AK246" s="432"/>
      <c r="AL246" s="432"/>
      <c r="AM246" s="432"/>
      <c r="AN246" s="432"/>
      <c r="AO246" s="432"/>
      <c r="AP246" s="432"/>
      <c r="AQ246" s="432"/>
      <c r="AR246" s="432"/>
      <c r="AS246" s="432"/>
      <c r="AT246" s="432"/>
      <c r="AU246" s="432"/>
      <c r="AV246" s="432"/>
      <c r="AW246" s="432"/>
      <c r="AX246" s="432"/>
      <c r="AY246" s="432"/>
      <c r="AZ246" s="432"/>
      <c r="BA246" s="432"/>
      <c r="BB246" s="432"/>
      <c r="BC246" s="432"/>
      <c r="BD246" s="432"/>
      <c r="BE246" s="432"/>
      <c r="BF246" s="432"/>
      <c r="BG246" s="432"/>
      <c r="BH246" s="432"/>
      <c r="BI246" s="432"/>
      <c r="BJ246" s="432"/>
      <c r="BK246" s="433"/>
    </row>
    <row r="247" spans="1:63" s="425" customFormat="1" ht="21" hidden="1" customHeight="1" x14ac:dyDescent="0.25">
      <c r="A247" s="435" t="s">
        <v>19</v>
      </c>
      <c r="B247" s="435">
        <v>101627</v>
      </c>
      <c r="C247" s="419" t="s">
        <v>20</v>
      </c>
      <c r="D247" s="419" t="s">
        <v>44</v>
      </c>
      <c r="E247" s="435" t="s">
        <v>22</v>
      </c>
      <c r="F247" s="435" t="s">
        <v>23</v>
      </c>
      <c r="G247" s="438">
        <v>46033</v>
      </c>
      <c r="H247" s="403" t="s">
        <v>715</v>
      </c>
      <c r="I247" s="448">
        <v>25057709</v>
      </c>
      <c r="J247" s="435" t="s">
        <v>716</v>
      </c>
      <c r="K247" s="435">
        <v>71996924351</v>
      </c>
      <c r="L247" s="435">
        <v>71996924351</v>
      </c>
      <c r="M247" s="435" t="s">
        <v>70</v>
      </c>
      <c r="O247" s="426"/>
      <c r="Q247" s="430"/>
      <c r="R247" s="431"/>
      <c r="S247" s="432"/>
      <c r="T247" s="432"/>
      <c r="U247" s="432"/>
      <c r="V247" s="432"/>
      <c r="W247" s="432"/>
      <c r="X247" s="432"/>
      <c r="Y247" s="432"/>
      <c r="Z247" s="432"/>
      <c r="AA247" s="432"/>
      <c r="AB247" s="432"/>
      <c r="AC247" s="432"/>
      <c r="AD247" s="432"/>
      <c r="AE247" s="432"/>
      <c r="AF247" s="432"/>
      <c r="AG247" s="432"/>
      <c r="AH247" s="432"/>
      <c r="AI247" s="432"/>
      <c r="AJ247" s="432"/>
      <c r="AK247" s="432"/>
      <c r="AL247" s="432"/>
      <c r="AM247" s="432"/>
      <c r="AN247" s="432"/>
      <c r="AO247" s="432"/>
      <c r="AP247" s="432"/>
      <c r="AQ247" s="432"/>
      <c r="AR247" s="432"/>
      <c r="AS247" s="432"/>
      <c r="AT247" s="432"/>
      <c r="AU247" s="432"/>
      <c r="AV247" s="432"/>
      <c r="AW247" s="432"/>
      <c r="AX247" s="432"/>
      <c r="AY247" s="432"/>
      <c r="AZ247" s="432"/>
      <c r="BA247" s="432"/>
      <c r="BB247" s="432"/>
      <c r="BC247" s="432"/>
      <c r="BD247" s="432"/>
      <c r="BE247" s="432"/>
      <c r="BF247" s="432"/>
      <c r="BG247" s="432"/>
      <c r="BH247" s="432"/>
      <c r="BI247" s="432"/>
      <c r="BJ247" s="432"/>
      <c r="BK247" s="433"/>
    </row>
    <row r="248" spans="1:63" s="425" customFormat="1" ht="21" hidden="1" customHeight="1" x14ac:dyDescent="0.25">
      <c r="A248" s="435" t="s">
        <v>19</v>
      </c>
      <c r="B248" s="435">
        <v>101627</v>
      </c>
      <c r="C248" s="419" t="s">
        <v>20</v>
      </c>
      <c r="D248" s="419" t="s">
        <v>44</v>
      </c>
      <c r="E248" s="435" t="s">
        <v>22</v>
      </c>
      <c r="F248" s="435" t="s">
        <v>23</v>
      </c>
      <c r="G248" s="438">
        <v>46042</v>
      </c>
      <c r="H248" s="403" t="s">
        <v>717</v>
      </c>
      <c r="I248" s="448">
        <v>25060829</v>
      </c>
      <c r="J248" s="435" t="s">
        <v>718</v>
      </c>
      <c r="K248" s="435">
        <v>71999145590</v>
      </c>
      <c r="L248" s="435">
        <v>71999145590</v>
      </c>
      <c r="M248" s="435" t="s">
        <v>70</v>
      </c>
      <c r="O248" s="426"/>
      <c r="Q248" s="430"/>
      <c r="R248" s="431"/>
      <c r="S248" s="432"/>
      <c r="T248" s="432"/>
      <c r="U248" s="432"/>
      <c r="V248" s="432"/>
      <c r="W248" s="432"/>
      <c r="X248" s="432"/>
      <c r="Y248" s="432"/>
      <c r="Z248" s="432"/>
      <c r="AA248" s="432"/>
      <c r="AB248" s="432"/>
      <c r="AC248" s="432"/>
      <c r="AD248" s="432"/>
      <c r="AE248" s="432"/>
      <c r="AF248" s="432"/>
      <c r="AG248" s="432"/>
      <c r="AH248" s="432"/>
      <c r="AI248" s="432"/>
      <c r="AJ248" s="432"/>
      <c r="AK248" s="432"/>
      <c r="AL248" s="432"/>
      <c r="AM248" s="432"/>
      <c r="AN248" s="432"/>
      <c r="AO248" s="432"/>
      <c r="AP248" s="432"/>
      <c r="AQ248" s="432"/>
      <c r="AR248" s="432"/>
      <c r="AS248" s="432"/>
      <c r="AT248" s="432"/>
      <c r="AU248" s="432"/>
      <c r="AV248" s="432"/>
      <c r="AW248" s="432"/>
      <c r="AX248" s="432"/>
      <c r="AY248" s="432"/>
      <c r="AZ248" s="432"/>
      <c r="BA248" s="432"/>
      <c r="BB248" s="432"/>
      <c r="BC248" s="432"/>
      <c r="BD248" s="432"/>
      <c r="BE248" s="432"/>
      <c r="BF248" s="432"/>
      <c r="BG248" s="432"/>
      <c r="BH248" s="432"/>
      <c r="BI248" s="432"/>
      <c r="BJ248" s="432"/>
      <c r="BK248" s="433"/>
    </row>
    <row r="249" spans="1:63" s="425" customFormat="1" ht="21" hidden="1" customHeight="1" x14ac:dyDescent="0.25">
      <c r="A249" s="435" t="s">
        <v>19</v>
      </c>
      <c r="B249" s="435">
        <v>101628</v>
      </c>
      <c r="C249" s="419" t="s">
        <v>20</v>
      </c>
      <c r="D249" s="419" t="s">
        <v>252</v>
      </c>
      <c r="E249" s="435" t="s">
        <v>22</v>
      </c>
      <c r="F249" s="435" t="s">
        <v>23</v>
      </c>
      <c r="G249" s="438">
        <v>46045</v>
      </c>
      <c r="H249" s="403" t="s">
        <v>719</v>
      </c>
      <c r="I249" s="448">
        <v>25056665</v>
      </c>
      <c r="J249" s="435" t="s">
        <v>720</v>
      </c>
      <c r="K249" s="435">
        <v>71984254699</v>
      </c>
      <c r="L249" s="435">
        <v>71984254699</v>
      </c>
      <c r="M249" s="435" t="s">
        <v>70</v>
      </c>
      <c r="O249" s="426"/>
      <c r="Q249" s="430"/>
      <c r="R249" s="431"/>
      <c r="S249" s="432"/>
      <c r="T249" s="432"/>
      <c r="U249" s="432"/>
      <c r="V249" s="432"/>
      <c r="W249" s="432"/>
      <c r="X249" s="432"/>
      <c r="Y249" s="432"/>
      <c r="Z249" s="432"/>
      <c r="AA249" s="432"/>
      <c r="AB249" s="432"/>
      <c r="AC249" s="432"/>
      <c r="AD249" s="432"/>
      <c r="AE249" s="432"/>
      <c r="AF249" s="432"/>
      <c r="AG249" s="432"/>
      <c r="AH249" s="432"/>
      <c r="AI249" s="432"/>
      <c r="AJ249" s="432"/>
      <c r="AK249" s="432"/>
      <c r="AL249" s="432"/>
      <c r="AM249" s="432"/>
      <c r="AN249" s="432"/>
      <c r="AO249" s="432"/>
      <c r="AP249" s="432"/>
      <c r="AQ249" s="432"/>
      <c r="AR249" s="432"/>
      <c r="AS249" s="432"/>
      <c r="AT249" s="432"/>
      <c r="AU249" s="432"/>
      <c r="AV249" s="432"/>
      <c r="AW249" s="432"/>
      <c r="AX249" s="432"/>
      <c r="AY249" s="432"/>
      <c r="AZ249" s="432"/>
      <c r="BA249" s="432"/>
      <c r="BB249" s="432"/>
      <c r="BC249" s="432"/>
      <c r="BD249" s="432"/>
      <c r="BE249" s="432"/>
      <c r="BF249" s="432"/>
      <c r="BG249" s="432"/>
      <c r="BH249" s="432"/>
      <c r="BI249" s="432"/>
      <c r="BJ249" s="432"/>
      <c r="BK249" s="433"/>
    </row>
    <row r="250" spans="1:63" s="383" customFormat="1" ht="21" hidden="1" customHeight="1" x14ac:dyDescent="0.25">
      <c r="A250" s="383" t="s">
        <v>19</v>
      </c>
      <c r="B250" s="383">
        <v>101631</v>
      </c>
      <c r="C250" s="389" t="s">
        <v>20</v>
      </c>
      <c r="D250" s="389" t="s">
        <v>27</v>
      </c>
      <c r="E250" s="383" t="s">
        <v>22</v>
      </c>
      <c r="F250" s="383" t="s">
        <v>23</v>
      </c>
      <c r="G250" s="395">
        <v>46046</v>
      </c>
      <c r="H250" s="404" t="s">
        <v>721</v>
      </c>
      <c r="I250" s="408">
        <v>25061841</v>
      </c>
      <c r="J250" s="383" t="s">
        <v>722</v>
      </c>
      <c r="K250" s="383">
        <v>71988178886</v>
      </c>
      <c r="L250" s="383">
        <v>71988178886</v>
      </c>
      <c r="M250" s="383" t="s">
        <v>498</v>
      </c>
      <c r="O250" s="389"/>
      <c r="Q250" s="467"/>
      <c r="R250" s="452"/>
      <c r="S250" s="453"/>
      <c r="T250" s="453"/>
      <c r="U250" s="453"/>
      <c r="V250" s="453"/>
      <c r="W250" s="453"/>
      <c r="X250" s="453"/>
      <c r="Y250" s="453"/>
      <c r="Z250" s="453"/>
      <c r="AA250" s="453"/>
      <c r="AB250" s="453"/>
      <c r="AC250" s="453"/>
      <c r="AD250" s="453"/>
      <c r="AE250" s="453"/>
      <c r="AF250" s="453"/>
      <c r="AG250" s="453"/>
      <c r="AH250" s="453"/>
      <c r="AI250" s="453"/>
      <c r="AJ250" s="453"/>
      <c r="AK250" s="453"/>
      <c r="AL250" s="453"/>
      <c r="AM250" s="453"/>
      <c r="AN250" s="453"/>
      <c r="AO250" s="453"/>
      <c r="AP250" s="453"/>
      <c r="AQ250" s="453"/>
      <c r="AR250" s="453"/>
      <c r="AS250" s="453"/>
      <c r="AT250" s="453"/>
      <c r="AU250" s="453"/>
      <c r="AV250" s="453"/>
      <c r="AW250" s="453"/>
      <c r="AX250" s="453"/>
      <c r="AY250" s="453"/>
      <c r="AZ250" s="453"/>
      <c r="BA250" s="453"/>
      <c r="BB250" s="453"/>
      <c r="BC250" s="453"/>
      <c r="BD250" s="453"/>
      <c r="BE250" s="453"/>
      <c r="BF250" s="453"/>
      <c r="BG250" s="453"/>
      <c r="BH250" s="453"/>
      <c r="BI250" s="453"/>
      <c r="BJ250" s="453"/>
      <c r="BK250" s="454"/>
    </row>
    <row r="251" spans="1:63" s="425" customFormat="1" ht="21" hidden="1" customHeight="1" x14ac:dyDescent="0.25">
      <c r="A251" s="435" t="s">
        <v>19</v>
      </c>
      <c r="B251" s="435">
        <v>101627</v>
      </c>
      <c r="C251" s="419" t="s">
        <v>20</v>
      </c>
      <c r="D251" s="419" t="s">
        <v>44</v>
      </c>
      <c r="E251" s="435" t="s">
        <v>22</v>
      </c>
      <c r="F251" s="435" t="s">
        <v>23</v>
      </c>
      <c r="G251" s="438">
        <v>46047</v>
      </c>
      <c r="H251" s="403" t="s">
        <v>723</v>
      </c>
      <c r="I251" s="448">
        <v>25061860</v>
      </c>
      <c r="J251" s="435" t="s">
        <v>724</v>
      </c>
      <c r="K251" s="435">
        <v>71999409260</v>
      </c>
      <c r="L251" s="435">
        <v>71999409260</v>
      </c>
      <c r="M251" s="435" t="s">
        <v>70</v>
      </c>
      <c r="O251" s="426"/>
      <c r="Q251" s="430"/>
      <c r="R251" s="431"/>
      <c r="S251" s="432"/>
      <c r="T251" s="432"/>
      <c r="U251" s="432"/>
      <c r="V251" s="432"/>
      <c r="W251" s="432"/>
      <c r="X251" s="432"/>
      <c r="Y251" s="432"/>
      <c r="Z251" s="432"/>
      <c r="AA251" s="432"/>
      <c r="AB251" s="432"/>
      <c r="AC251" s="432"/>
      <c r="AD251" s="432"/>
      <c r="AE251" s="432"/>
      <c r="AF251" s="432"/>
      <c r="AG251" s="432"/>
      <c r="AH251" s="432"/>
      <c r="AI251" s="432"/>
      <c r="AJ251" s="432"/>
      <c r="AK251" s="432"/>
      <c r="AL251" s="432"/>
      <c r="AM251" s="432"/>
      <c r="AN251" s="432"/>
      <c r="AO251" s="432"/>
      <c r="AP251" s="432"/>
      <c r="AQ251" s="432"/>
      <c r="AR251" s="432"/>
      <c r="AS251" s="432"/>
      <c r="AT251" s="432"/>
      <c r="AU251" s="432"/>
      <c r="AV251" s="432"/>
      <c r="AW251" s="432"/>
      <c r="AX251" s="432"/>
      <c r="AY251" s="432"/>
      <c r="AZ251" s="432"/>
      <c r="BA251" s="432"/>
      <c r="BB251" s="432"/>
      <c r="BC251" s="432"/>
      <c r="BD251" s="432"/>
      <c r="BE251" s="432"/>
      <c r="BF251" s="432"/>
      <c r="BG251" s="432"/>
      <c r="BH251" s="432"/>
      <c r="BI251" s="432"/>
      <c r="BJ251" s="432"/>
      <c r="BK251" s="433"/>
    </row>
    <row r="252" spans="1:63" s="425" customFormat="1" ht="21" hidden="1" customHeight="1" x14ac:dyDescent="0.25">
      <c r="A252" s="435" t="s">
        <v>19</v>
      </c>
      <c r="B252" s="435">
        <v>101626</v>
      </c>
      <c r="C252" s="419" t="s">
        <v>20</v>
      </c>
      <c r="D252" s="419" t="s">
        <v>21</v>
      </c>
      <c r="E252" s="435" t="s">
        <v>22</v>
      </c>
      <c r="F252" s="435" t="s">
        <v>23</v>
      </c>
      <c r="G252" s="438">
        <v>46045</v>
      </c>
      <c r="H252" s="403" t="s">
        <v>725</v>
      </c>
      <c r="I252" s="448">
        <v>21869780</v>
      </c>
      <c r="J252" s="465" t="s">
        <v>726</v>
      </c>
      <c r="K252" s="435">
        <v>71983824103</v>
      </c>
      <c r="L252" s="435">
        <v>71983824103</v>
      </c>
      <c r="O252" s="426"/>
      <c r="Q252" s="430"/>
      <c r="R252" s="431"/>
      <c r="S252" s="432"/>
      <c r="T252" s="432"/>
      <c r="U252" s="432"/>
      <c r="V252" s="432"/>
      <c r="W252" s="432"/>
      <c r="X252" s="432"/>
      <c r="Y252" s="432"/>
      <c r="Z252" s="432"/>
      <c r="AA252" s="432"/>
      <c r="AB252" s="432"/>
      <c r="AC252" s="432"/>
      <c r="AD252" s="432"/>
      <c r="AE252" s="432"/>
      <c r="AF252" s="432"/>
      <c r="AG252" s="432"/>
      <c r="AH252" s="432"/>
      <c r="AI252" s="432"/>
      <c r="AJ252" s="432"/>
      <c r="AK252" s="432"/>
      <c r="AL252" s="432"/>
      <c r="AM252" s="432"/>
      <c r="AN252" s="432"/>
      <c r="AO252" s="432"/>
      <c r="AP252" s="432"/>
      <c r="AQ252" s="432"/>
      <c r="AR252" s="432"/>
      <c r="AS252" s="432"/>
      <c r="AT252" s="432"/>
      <c r="AU252" s="432"/>
      <c r="AV252" s="432"/>
      <c r="AW252" s="432"/>
      <c r="AX252" s="432"/>
      <c r="AY252" s="432"/>
      <c r="AZ252" s="432"/>
      <c r="BA252" s="432"/>
      <c r="BB252" s="432"/>
      <c r="BC252" s="432"/>
      <c r="BD252" s="432"/>
      <c r="BE252" s="432"/>
      <c r="BF252" s="432"/>
      <c r="BG252" s="432"/>
      <c r="BH252" s="432"/>
      <c r="BI252" s="432"/>
      <c r="BJ252" s="432"/>
      <c r="BK252" s="433"/>
    </row>
    <row r="253" spans="1:63" s="425" customFormat="1" ht="21" hidden="1" customHeight="1" x14ac:dyDescent="0.25">
      <c r="A253" s="435" t="s">
        <v>19</v>
      </c>
      <c r="B253" s="435">
        <v>101627</v>
      </c>
      <c r="C253" s="419" t="s">
        <v>20</v>
      </c>
      <c r="D253" s="419" t="s">
        <v>44</v>
      </c>
      <c r="E253" s="435" t="s">
        <v>22</v>
      </c>
      <c r="F253" s="435" t="s">
        <v>23</v>
      </c>
      <c r="G253" s="438">
        <v>46048</v>
      </c>
      <c r="H253" s="403" t="s">
        <v>727</v>
      </c>
      <c r="I253" s="448">
        <v>162648791</v>
      </c>
      <c r="J253" s="449" t="s">
        <v>728</v>
      </c>
      <c r="K253" s="435">
        <v>71992543401</v>
      </c>
      <c r="L253" s="435">
        <v>71992543401</v>
      </c>
      <c r="M253" s="435" t="s">
        <v>70</v>
      </c>
      <c r="O253" s="426"/>
      <c r="Q253" s="430"/>
      <c r="R253" s="431"/>
      <c r="S253" s="432"/>
      <c r="T253" s="432"/>
      <c r="U253" s="432"/>
      <c r="V253" s="432"/>
      <c r="W253" s="432"/>
      <c r="X253" s="432"/>
      <c r="Y253" s="432"/>
      <c r="Z253" s="432"/>
      <c r="AA253" s="432"/>
      <c r="AB253" s="432"/>
      <c r="AC253" s="432"/>
      <c r="AD253" s="432"/>
      <c r="AE253" s="432"/>
      <c r="AF253" s="432"/>
      <c r="AG253" s="432"/>
      <c r="AH253" s="432"/>
      <c r="AI253" s="432"/>
      <c r="AJ253" s="432"/>
      <c r="AK253" s="432"/>
      <c r="AL253" s="432"/>
      <c r="AM253" s="432"/>
      <c r="AN253" s="432"/>
      <c r="AO253" s="432"/>
      <c r="AP253" s="432"/>
      <c r="AQ253" s="432"/>
      <c r="AR253" s="432"/>
      <c r="AS253" s="432"/>
      <c r="AT253" s="432"/>
      <c r="AU253" s="432"/>
      <c r="AV253" s="432"/>
      <c r="AW253" s="432"/>
      <c r="AX253" s="432"/>
      <c r="AY253" s="432"/>
      <c r="AZ253" s="432"/>
      <c r="BA253" s="432"/>
      <c r="BB253" s="432"/>
      <c r="BC253" s="432"/>
      <c r="BD253" s="432"/>
      <c r="BE253" s="432"/>
      <c r="BF253" s="432"/>
      <c r="BG253" s="432"/>
      <c r="BH253" s="432"/>
      <c r="BI253" s="432"/>
      <c r="BJ253" s="432"/>
      <c r="BK253" s="433"/>
    </row>
    <row r="254" spans="1:63" s="425" customFormat="1" ht="21" hidden="1" customHeight="1" x14ac:dyDescent="0.25">
      <c r="A254" s="435" t="s">
        <v>19</v>
      </c>
      <c r="B254" s="435">
        <v>101627</v>
      </c>
      <c r="C254" s="419" t="s">
        <v>20</v>
      </c>
      <c r="D254" s="419" t="s">
        <v>44</v>
      </c>
      <c r="E254" s="435" t="s">
        <v>22</v>
      </c>
      <c r="F254" s="435" t="s">
        <v>23</v>
      </c>
      <c r="G254" s="438">
        <v>46049</v>
      </c>
      <c r="H254" s="403" t="s">
        <v>729</v>
      </c>
      <c r="I254" s="448">
        <v>25062099</v>
      </c>
      <c r="J254" s="449" t="s">
        <v>730</v>
      </c>
      <c r="K254" s="435">
        <v>71982403987</v>
      </c>
      <c r="L254" s="435">
        <v>71982403987</v>
      </c>
      <c r="M254" s="435" t="s">
        <v>70</v>
      </c>
      <c r="O254" s="426"/>
      <c r="Q254" s="430"/>
      <c r="R254" s="431"/>
      <c r="S254" s="432"/>
      <c r="T254" s="432"/>
      <c r="U254" s="432"/>
      <c r="V254" s="432"/>
      <c r="W254" s="432"/>
      <c r="X254" s="432"/>
      <c r="Y254" s="432"/>
      <c r="Z254" s="432"/>
      <c r="AA254" s="432"/>
      <c r="AB254" s="432"/>
      <c r="AC254" s="432"/>
      <c r="AD254" s="432"/>
      <c r="AE254" s="432"/>
      <c r="AF254" s="432"/>
      <c r="AG254" s="432"/>
      <c r="AH254" s="432"/>
      <c r="AI254" s="432"/>
      <c r="AJ254" s="432"/>
      <c r="AK254" s="432"/>
      <c r="AL254" s="432"/>
      <c r="AM254" s="432"/>
      <c r="AN254" s="432"/>
      <c r="AO254" s="432"/>
      <c r="AP254" s="432"/>
      <c r="AQ254" s="432"/>
      <c r="AR254" s="432"/>
      <c r="AS254" s="432"/>
      <c r="AT254" s="432"/>
      <c r="AU254" s="432"/>
      <c r="AV254" s="432"/>
      <c r="AW254" s="432"/>
      <c r="AX254" s="432"/>
      <c r="AY254" s="432"/>
      <c r="AZ254" s="432"/>
      <c r="BA254" s="432"/>
      <c r="BB254" s="432"/>
      <c r="BC254" s="432"/>
      <c r="BD254" s="432"/>
      <c r="BE254" s="432"/>
      <c r="BF254" s="432"/>
      <c r="BG254" s="432"/>
      <c r="BH254" s="432"/>
      <c r="BI254" s="432"/>
      <c r="BJ254" s="432"/>
      <c r="BK254" s="433"/>
    </row>
    <row r="255" spans="1:63" s="425" customFormat="1" ht="21" hidden="1" customHeight="1" x14ac:dyDescent="0.25">
      <c r="A255" s="425" t="s">
        <v>19</v>
      </c>
      <c r="B255" s="425">
        <v>101625</v>
      </c>
      <c r="C255" s="426" t="s">
        <v>20</v>
      </c>
      <c r="D255" s="426" t="s">
        <v>187</v>
      </c>
      <c r="E255" s="425" t="s">
        <v>22</v>
      </c>
      <c r="F255" s="425" t="s">
        <v>23</v>
      </c>
      <c r="G255" s="427">
        <v>46048</v>
      </c>
      <c r="H255" s="428" t="s">
        <v>731</v>
      </c>
      <c r="I255" s="429">
        <v>25062048</v>
      </c>
      <c r="J255" s="463" t="s">
        <v>732</v>
      </c>
      <c r="K255" s="425">
        <v>71991564816</v>
      </c>
      <c r="L255" s="425">
        <v>71991564816</v>
      </c>
      <c r="M255" s="425" t="s">
        <v>70</v>
      </c>
      <c r="O255" s="426" t="s">
        <v>733</v>
      </c>
      <c r="Q255" s="430"/>
      <c r="R255" s="431"/>
      <c r="S255" s="432"/>
      <c r="T255" s="432"/>
      <c r="U255" s="432"/>
      <c r="V255" s="432"/>
      <c r="W255" s="432"/>
      <c r="X255" s="432"/>
      <c r="Y255" s="432"/>
      <c r="Z255" s="432"/>
      <c r="AA255" s="432"/>
      <c r="AB255" s="432"/>
      <c r="AC255" s="432"/>
      <c r="AD255" s="432"/>
      <c r="AE255" s="432"/>
      <c r="AF255" s="432"/>
      <c r="AG255" s="432"/>
      <c r="AH255" s="432"/>
      <c r="AI255" s="432"/>
      <c r="AJ255" s="432"/>
      <c r="AK255" s="432"/>
      <c r="AL255" s="432"/>
      <c r="AM255" s="432"/>
      <c r="AN255" s="432"/>
      <c r="AO255" s="432"/>
      <c r="AP255" s="432"/>
      <c r="AQ255" s="432"/>
      <c r="AR255" s="432"/>
      <c r="AS255" s="432"/>
      <c r="AT255" s="432"/>
      <c r="AU255" s="432"/>
      <c r="AV255" s="432"/>
      <c r="AW255" s="432"/>
      <c r="AX255" s="432"/>
      <c r="AY255" s="432"/>
      <c r="AZ255" s="432"/>
      <c r="BA255" s="432"/>
      <c r="BB255" s="432"/>
      <c r="BC255" s="432"/>
      <c r="BD255" s="432"/>
      <c r="BE255" s="432"/>
      <c r="BF255" s="432"/>
      <c r="BG255" s="432"/>
      <c r="BH255" s="432"/>
      <c r="BI255" s="432"/>
      <c r="BJ255" s="432"/>
      <c r="BK255" s="433"/>
    </row>
    <row r="256" spans="1:63" s="425" customFormat="1" ht="21" hidden="1" customHeight="1" x14ac:dyDescent="0.25">
      <c r="A256" s="435" t="s">
        <v>19</v>
      </c>
      <c r="B256" s="435">
        <v>101627</v>
      </c>
      <c r="C256" s="419" t="s">
        <v>20</v>
      </c>
      <c r="D256" s="419" t="s">
        <v>44</v>
      </c>
      <c r="E256" s="435" t="s">
        <v>22</v>
      </c>
      <c r="F256" s="435" t="s">
        <v>23</v>
      </c>
      <c r="G256" s="438">
        <v>46047</v>
      </c>
      <c r="H256" s="403" t="s">
        <v>734</v>
      </c>
      <c r="I256" s="448">
        <v>25061861</v>
      </c>
      <c r="J256" s="449" t="s">
        <v>735</v>
      </c>
      <c r="K256" s="435">
        <v>71992914544</v>
      </c>
      <c r="L256" s="435">
        <v>71992914544</v>
      </c>
      <c r="M256" s="435" t="s">
        <v>70</v>
      </c>
      <c r="O256" s="426"/>
      <c r="Q256" s="430"/>
      <c r="R256" s="431"/>
      <c r="S256" s="432"/>
      <c r="T256" s="432"/>
      <c r="U256" s="432"/>
      <c r="V256" s="432"/>
      <c r="W256" s="432"/>
      <c r="X256" s="432"/>
      <c r="Y256" s="432"/>
      <c r="Z256" s="432"/>
      <c r="AA256" s="432"/>
      <c r="AB256" s="432"/>
      <c r="AC256" s="432"/>
      <c r="AD256" s="432"/>
      <c r="AE256" s="432"/>
      <c r="AF256" s="432"/>
      <c r="AG256" s="432"/>
      <c r="AH256" s="432"/>
      <c r="AI256" s="432"/>
      <c r="AJ256" s="432"/>
      <c r="AK256" s="432"/>
      <c r="AL256" s="432"/>
      <c r="AM256" s="432"/>
      <c r="AN256" s="432"/>
      <c r="AO256" s="432"/>
      <c r="AP256" s="432"/>
      <c r="AQ256" s="432"/>
      <c r="AR256" s="432"/>
      <c r="AS256" s="432"/>
      <c r="AT256" s="432"/>
      <c r="AU256" s="432"/>
      <c r="AV256" s="432"/>
      <c r="AW256" s="432"/>
      <c r="AX256" s="432"/>
      <c r="AY256" s="432"/>
      <c r="AZ256" s="432"/>
      <c r="BA256" s="432"/>
      <c r="BB256" s="432"/>
      <c r="BC256" s="432"/>
      <c r="BD256" s="432"/>
      <c r="BE256" s="432"/>
      <c r="BF256" s="432"/>
      <c r="BG256" s="432"/>
      <c r="BH256" s="432"/>
      <c r="BI256" s="432"/>
      <c r="BJ256" s="432"/>
      <c r="BK256" s="433"/>
    </row>
    <row r="257" spans="1:63" ht="21" hidden="1" customHeight="1" x14ac:dyDescent="0.25">
      <c r="A257" s="546" t="s">
        <v>19</v>
      </c>
      <c r="B257" s="546">
        <v>101627</v>
      </c>
      <c r="C257" s="547" t="s">
        <v>20</v>
      </c>
      <c r="D257" s="547" t="s">
        <v>27</v>
      </c>
      <c r="E257" s="546" t="s">
        <v>22</v>
      </c>
      <c r="F257" s="546" t="s">
        <v>23</v>
      </c>
      <c r="G257" s="548">
        <v>46046</v>
      </c>
      <c r="H257" s="549" t="s">
        <v>736</v>
      </c>
      <c r="I257" s="550">
        <v>25061847</v>
      </c>
      <c r="J257" s="557" t="s">
        <v>737</v>
      </c>
      <c r="K257" s="546">
        <v>71981681920</v>
      </c>
      <c r="L257" s="546">
        <v>71981681920</v>
      </c>
      <c r="M257" s="546" t="s">
        <v>70</v>
      </c>
      <c r="O257" s="547" t="s">
        <v>381</v>
      </c>
    </row>
    <row r="258" spans="1:63" s="425" customFormat="1" ht="21" hidden="1" customHeight="1" x14ac:dyDescent="0.25">
      <c r="A258" s="435" t="s">
        <v>19</v>
      </c>
      <c r="B258" s="435">
        <v>101628</v>
      </c>
      <c r="C258" s="419" t="s">
        <v>20</v>
      </c>
      <c r="D258" s="419" t="s">
        <v>252</v>
      </c>
      <c r="E258" s="435" t="s">
        <v>22</v>
      </c>
      <c r="F258" s="435" t="s">
        <v>23</v>
      </c>
      <c r="G258" s="438">
        <v>46046</v>
      </c>
      <c r="H258" s="403" t="s">
        <v>738</v>
      </c>
      <c r="I258" s="448">
        <v>25061827</v>
      </c>
      <c r="J258" s="449" t="s">
        <v>739</v>
      </c>
      <c r="K258" s="435">
        <v>71983417656</v>
      </c>
      <c r="L258" s="435">
        <v>71983417656</v>
      </c>
      <c r="M258" s="435" t="s">
        <v>70</v>
      </c>
      <c r="O258" s="426"/>
      <c r="Q258" s="430"/>
      <c r="R258" s="431"/>
      <c r="S258" s="432"/>
      <c r="T258" s="432"/>
      <c r="U258" s="432"/>
      <c r="V258" s="432"/>
      <c r="W258" s="432"/>
      <c r="X258" s="432"/>
      <c r="Y258" s="432"/>
      <c r="Z258" s="432"/>
      <c r="AA258" s="432"/>
      <c r="AB258" s="432"/>
      <c r="AC258" s="432"/>
      <c r="AD258" s="432"/>
      <c r="AE258" s="432"/>
      <c r="AF258" s="432"/>
      <c r="AG258" s="432"/>
      <c r="AH258" s="432"/>
      <c r="AI258" s="432"/>
      <c r="AJ258" s="432"/>
      <c r="AK258" s="432"/>
      <c r="AL258" s="432"/>
      <c r="AM258" s="432"/>
      <c r="AN258" s="432"/>
      <c r="AO258" s="432"/>
      <c r="AP258" s="432"/>
      <c r="AQ258" s="432"/>
      <c r="AR258" s="432"/>
      <c r="AS258" s="432"/>
      <c r="AT258" s="432"/>
      <c r="AU258" s="432"/>
      <c r="AV258" s="432"/>
      <c r="AW258" s="432"/>
      <c r="AX258" s="432"/>
      <c r="AY258" s="432"/>
      <c r="AZ258" s="432"/>
      <c r="BA258" s="432"/>
      <c r="BB258" s="432"/>
      <c r="BC258" s="432"/>
      <c r="BD258" s="432"/>
      <c r="BE258" s="432"/>
      <c r="BF258" s="432"/>
      <c r="BG258" s="432"/>
      <c r="BH258" s="432"/>
      <c r="BI258" s="432"/>
      <c r="BJ258" s="432"/>
      <c r="BK258" s="433"/>
    </row>
    <row r="259" spans="1:63" s="425" customFormat="1" ht="21" hidden="1" customHeight="1" x14ac:dyDescent="0.25">
      <c r="A259" s="435" t="s">
        <v>19</v>
      </c>
      <c r="B259" s="435">
        <v>101628</v>
      </c>
      <c r="C259" s="419" t="s">
        <v>20</v>
      </c>
      <c r="D259" s="419" t="s">
        <v>252</v>
      </c>
      <c r="E259" s="435" t="s">
        <v>22</v>
      </c>
      <c r="F259" s="435" t="s">
        <v>23</v>
      </c>
      <c r="G259" s="438">
        <v>46046</v>
      </c>
      <c r="H259" s="403" t="s">
        <v>740</v>
      </c>
      <c r="I259" s="448">
        <v>25061810</v>
      </c>
      <c r="J259" s="449" t="s">
        <v>741</v>
      </c>
      <c r="K259" s="435">
        <v>71987521627</v>
      </c>
      <c r="L259" s="435">
        <v>71987521627</v>
      </c>
      <c r="M259" s="435" t="s">
        <v>70</v>
      </c>
      <c r="O259" s="426"/>
      <c r="Q259" s="430"/>
      <c r="R259" s="431"/>
      <c r="S259" s="432"/>
      <c r="T259" s="432"/>
      <c r="U259" s="432"/>
      <c r="V259" s="432"/>
      <c r="W259" s="432"/>
      <c r="X259" s="432"/>
      <c r="Y259" s="432"/>
      <c r="Z259" s="432"/>
      <c r="AA259" s="432"/>
      <c r="AB259" s="432"/>
      <c r="AC259" s="432"/>
      <c r="AD259" s="432"/>
      <c r="AE259" s="432"/>
      <c r="AF259" s="432"/>
      <c r="AG259" s="432"/>
      <c r="AH259" s="432"/>
      <c r="AI259" s="432"/>
      <c r="AJ259" s="432"/>
      <c r="AK259" s="432"/>
      <c r="AL259" s="432"/>
      <c r="AM259" s="432"/>
      <c r="AN259" s="432"/>
      <c r="AO259" s="432"/>
      <c r="AP259" s="432"/>
      <c r="AQ259" s="432"/>
      <c r="AR259" s="432"/>
      <c r="AS259" s="432"/>
      <c r="AT259" s="432"/>
      <c r="AU259" s="432"/>
      <c r="AV259" s="432"/>
      <c r="AW259" s="432"/>
      <c r="AX259" s="432"/>
      <c r="AY259" s="432"/>
      <c r="AZ259" s="432"/>
      <c r="BA259" s="432"/>
      <c r="BB259" s="432"/>
      <c r="BC259" s="432"/>
      <c r="BD259" s="432"/>
      <c r="BE259" s="432"/>
      <c r="BF259" s="432"/>
      <c r="BG259" s="432"/>
      <c r="BH259" s="432"/>
      <c r="BI259" s="432"/>
      <c r="BJ259" s="432"/>
      <c r="BK259" s="433"/>
    </row>
    <row r="260" spans="1:63" s="425" customFormat="1" ht="21" hidden="1" customHeight="1" x14ac:dyDescent="0.25">
      <c r="A260" s="435" t="s">
        <v>19</v>
      </c>
      <c r="B260" s="435">
        <v>101623</v>
      </c>
      <c r="C260" s="419" t="s">
        <v>20</v>
      </c>
      <c r="D260" s="419" t="s">
        <v>48</v>
      </c>
      <c r="E260" s="435" t="s">
        <v>22</v>
      </c>
      <c r="F260" s="435" t="s">
        <v>23</v>
      </c>
      <c r="G260" s="438">
        <v>46045</v>
      </c>
      <c r="H260" s="403" t="s">
        <v>742</v>
      </c>
      <c r="I260" s="448">
        <v>25061591</v>
      </c>
      <c r="J260" s="449" t="s">
        <v>743</v>
      </c>
      <c r="K260" s="435">
        <v>71983386099</v>
      </c>
      <c r="L260" s="435">
        <v>71983386099</v>
      </c>
      <c r="M260" s="435" t="s">
        <v>70</v>
      </c>
      <c r="O260" s="426"/>
      <c r="Q260" s="430"/>
      <c r="R260" s="431"/>
      <c r="S260" s="432"/>
      <c r="T260" s="432"/>
      <c r="U260" s="432"/>
      <c r="V260" s="432"/>
      <c r="W260" s="432"/>
      <c r="X260" s="432"/>
      <c r="Y260" s="432"/>
      <c r="Z260" s="432"/>
      <c r="AA260" s="432"/>
      <c r="AB260" s="432"/>
      <c r="AC260" s="432"/>
      <c r="AD260" s="432"/>
      <c r="AE260" s="432"/>
      <c r="AF260" s="432"/>
      <c r="AG260" s="432"/>
      <c r="AH260" s="432"/>
      <c r="AI260" s="432"/>
      <c r="AJ260" s="432"/>
      <c r="AK260" s="432"/>
      <c r="AL260" s="432"/>
      <c r="AM260" s="432"/>
      <c r="AN260" s="432"/>
      <c r="AO260" s="432"/>
      <c r="AP260" s="432"/>
      <c r="AQ260" s="432"/>
      <c r="AR260" s="432"/>
      <c r="AS260" s="432"/>
      <c r="AT260" s="432"/>
      <c r="AU260" s="432"/>
      <c r="AV260" s="432"/>
      <c r="AW260" s="432"/>
      <c r="AX260" s="432"/>
      <c r="AY260" s="432"/>
      <c r="AZ260" s="432"/>
      <c r="BA260" s="432"/>
      <c r="BB260" s="432"/>
      <c r="BC260" s="432"/>
      <c r="BD260" s="432"/>
      <c r="BE260" s="432"/>
      <c r="BF260" s="432"/>
      <c r="BG260" s="432"/>
      <c r="BH260" s="432"/>
      <c r="BI260" s="432"/>
      <c r="BJ260" s="432"/>
      <c r="BK260" s="433"/>
    </row>
    <row r="261" spans="1:63" s="425" customFormat="1" ht="21" hidden="1" customHeight="1" x14ac:dyDescent="0.25">
      <c r="A261" s="435" t="s">
        <v>19</v>
      </c>
      <c r="B261" s="435">
        <v>101631</v>
      </c>
      <c r="C261" s="419" t="s">
        <v>20</v>
      </c>
      <c r="D261" s="419" t="s">
        <v>27</v>
      </c>
      <c r="E261" s="435" t="s">
        <v>22</v>
      </c>
      <c r="F261" s="435" t="s">
        <v>23</v>
      </c>
      <c r="G261" s="438">
        <v>46048</v>
      </c>
      <c r="H261" s="403" t="s">
        <v>744</v>
      </c>
      <c r="I261" s="448">
        <v>21853276</v>
      </c>
      <c r="J261" s="449" t="s">
        <v>745</v>
      </c>
      <c r="K261" s="435">
        <v>71984579292</v>
      </c>
      <c r="L261" s="435">
        <v>71984579292</v>
      </c>
      <c r="M261" s="435" t="s">
        <v>70</v>
      </c>
      <c r="O261" s="426"/>
      <c r="Q261" s="430"/>
      <c r="R261" s="431"/>
      <c r="S261" s="432"/>
      <c r="T261" s="432"/>
      <c r="U261" s="432"/>
      <c r="V261" s="432"/>
      <c r="W261" s="432"/>
      <c r="X261" s="432"/>
      <c r="Y261" s="432"/>
      <c r="Z261" s="432"/>
      <c r="AA261" s="432"/>
      <c r="AB261" s="432"/>
      <c r="AC261" s="432"/>
      <c r="AD261" s="432"/>
      <c r="AE261" s="432"/>
      <c r="AF261" s="432"/>
      <c r="AG261" s="432"/>
      <c r="AH261" s="432"/>
      <c r="AI261" s="432"/>
      <c r="AJ261" s="432"/>
      <c r="AK261" s="432"/>
      <c r="AL261" s="432"/>
      <c r="AM261" s="432"/>
      <c r="AN261" s="432"/>
      <c r="AO261" s="432"/>
      <c r="AP261" s="432"/>
      <c r="AQ261" s="432"/>
      <c r="AR261" s="432"/>
      <c r="AS261" s="432"/>
      <c r="AT261" s="432"/>
      <c r="AU261" s="432"/>
      <c r="AV261" s="432"/>
      <c r="AW261" s="432"/>
      <c r="AX261" s="432"/>
      <c r="AY261" s="432"/>
      <c r="AZ261" s="432"/>
      <c r="BA261" s="432"/>
      <c r="BB261" s="432"/>
      <c r="BC261" s="432"/>
      <c r="BD261" s="432"/>
      <c r="BE261" s="432"/>
      <c r="BF261" s="432"/>
      <c r="BG261" s="432"/>
      <c r="BH261" s="432"/>
      <c r="BI261" s="432"/>
      <c r="BJ261" s="432"/>
      <c r="BK261" s="433"/>
    </row>
    <row r="262" spans="1:63" s="425" customFormat="1" ht="21" hidden="1" customHeight="1" x14ac:dyDescent="0.25">
      <c r="A262" s="435" t="s">
        <v>19</v>
      </c>
      <c r="B262" s="435">
        <v>101631</v>
      </c>
      <c r="C262" s="419" t="s">
        <v>20</v>
      </c>
      <c r="D262" s="419" t="s">
        <v>27</v>
      </c>
      <c r="E262" s="435" t="s">
        <v>22</v>
      </c>
      <c r="F262" s="435" t="s">
        <v>23</v>
      </c>
      <c r="G262" s="438">
        <v>46049</v>
      </c>
      <c r="H262" s="403" t="s">
        <v>746</v>
      </c>
      <c r="I262" s="448">
        <v>25060850</v>
      </c>
      <c r="J262" s="449" t="s">
        <v>747</v>
      </c>
      <c r="K262" s="435" t="s">
        <v>748</v>
      </c>
      <c r="L262" s="435" t="s">
        <v>748</v>
      </c>
      <c r="M262" s="435" t="s">
        <v>70</v>
      </c>
      <c r="O262" s="426"/>
      <c r="Q262" s="430"/>
      <c r="R262" s="431"/>
      <c r="S262" s="432"/>
      <c r="T262" s="432"/>
      <c r="U262" s="432"/>
      <c r="V262" s="432"/>
      <c r="W262" s="432"/>
      <c r="X262" s="432"/>
      <c r="Y262" s="432"/>
      <c r="Z262" s="432"/>
      <c r="AA262" s="432"/>
      <c r="AB262" s="432"/>
      <c r="AC262" s="432"/>
      <c r="AD262" s="432"/>
      <c r="AE262" s="432"/>
      <c r="AF262" s="432"/>
      <c r="AG262" s="432"/>
      <c r="AH262" s="432"/>
      <c r="AI262" s="432"/>
      <c r="AJ262" s="432"/>
      <c r="AK262" s="432"/>
      <c r="AL262" s="432"/>
      <c r="AM262" s="432"/>
      <c r="AN262" s="432"/>
      <c r="AO262" s="432"/>
      <c r="AP262" s="432"/>
      <c r="AQ262" s="432"/>
      <c r="AR262" s="432"/>
      <c r="AS262" s="432"/>
      <c r="AT262" s="432"/>
      <c r="AU262" s="432"/>
      <c r="AV262" s="432"/>
      <c r="AW262" s="432"/>
      <c r="AX262" s="432"/>
      <c r="AY262" s="432"/>
      <c r="AZ262" s="432"/>
      <c r="BA262" s="432"/>
      <c r="BB262" s="432"/>
      <c r="BC262" s="432"/>
      <c r="BD262" s="432"/>
      <c r="BE262" s="432"/>
      <c r="BF262" s="432"/>
      <c r="BG262" s="432"/>
      <c r="BH262" s="432"/>
      <c r="BI262" s="432"/>
      <c r="BJ262" s="432"/>
      <c r="BK262" s="433"/>
    </row>
    <row r="263" spans="1:63" ht="28.5" hidden="1" customHeight="1" x14ac:dyDescent="0.25">
      <c r="A263" s="546" t="s">
        <v>19</v>
      </c>
      <c r="B263" s="546">
        <v>101626</v>
      </c>
      <c r="C263" s="547" t="s">
        <v>20</v>
      </c>
      <c r="D263" s="547" t="s">
        <v>21</v>
      </c>
      <c r="E263" s="546" t="s">
        <v>22</v>
      </c>
      <c r="F263" s="546" t="s">
        <v>23</v>
      </c>
      <c r="G263" s="548">
        <v>46049</v>
      </c>
      <c r="H263" s="549" t="s">
        <v>749</v>
      </c>
      <c r="I263" s="550">
        <v>25062276</v>
      </c>
      <c r="J263" s="546" t="s">
        <v>750</v>
      </c>
      <c r="K263" s="546">
        <v>71986012071</v>
      </c>
      <c r="L263" s="546">
        <v>71986012071</v>
      </c>
      <c r="M263" s="546" t="s">
        <v>70</v>
      </c>
      <c r="O263" s="547" t="s">
        <v>751</v>
      </c>
    </row>
    <row r="264" spans="1:63" s="425" customFormat="1" ht="21" hidden="1" customHeight="1" x14ac:dyDescent="0.25">
      <c r="A264" s="435" t="s">
        <v>19</v>
      </c>
      <c r="B264" s="435">
        <v>101627</v>
      </c>
      <c r="C264" s="419" t="s">
        <v>20</v>
      </c>
      <c r="D264" s="419" t="s">
        <v>44</v>
      </c>
      <c r="E264" s="435" t="s">
        <v>22</v>
      </c>
      <c r="F264" s="435" t="s">
        <v>23</v>
      </c>
      <c r="G264" s="438">
        <v>46038</v>
      </c>
      <c r="H264" s="403" t="s">
        <v>752</v>
      </c>
      <c r="I264" s="448">
        <v>25058973</v>
      </c>
      <c r="J264" s="435" t="s">
        <v>753</v>
      </c>
      <c r="K264" s="435">
        <v>71997284173</v>
      </c>
      <c r="L264" s="435">
        <v>71997284173</v>
      </c>
      <c r="M264" s="435" t="s">
        <v>70</v>
      </c>
      <c r="O264" s="426"/>
      <c r="Q264" s="430"/>
      <c r="R264" s="431"/>
      <c r="S264" s="432"/>
      <c r="T264" s="432"/>
      <c r="U264" s="432"/>
      <c r="V264" s="432"/>
      <c r="W264" s="432"/>
      <c r="X264" s="432"/>
      <c r="Y264" s="432"/>
      <c r="Z264" s="432"/>
      <c r="AA264" s="432"/>
      <c r="AB264" s="432"/>
      <c r="AC264" s="432"/>
      <c r="AD264" s="432"/>
      <c r="AE264" s="432"/>
      <c r="AF264" s="432"/>
      <c r="AG264" s="432"/>
      <c r="AH264" s="432"/>
      <c r="AI264" s="432"/>
      <c r="AJ264" s="432"/>
      <c r="AK264" s="432"/>
      <c r="AL264" s="432"/>
      <c r="AM264" s="432"/>
      <c r="AN264" s="432"/>
      <c r="AO264" s="432"/>
      <c r="AP264" s="432"/>
      <c r="AQ264" s="432"/>
      <c r="AR264" s="432"/>
      <c r="AS264" s="432"/>
      <c r="AT264" s="432"/>
      <c r="AU264" s="432"/>
      <c r="AV264" s="432"/>
      <c r="AW264" s="432"/>
      <c r="AX264" s="432"/>
      <c r="AY264" s="432"/>
      <c r="AZ264" s="432"/>
      <c r="BA264" s="432"/>
      <c r="BB264" s="432"/>
      <c r="BC264" s="432"/>
      <c r="BD264" s="432"/>
      <c r="BE264" s="432"/>
      <c r="BF264" s="432"/>
      <c r="BG264" s="432"/>
      <c r="BH264" s="432"/>
      <c r="BI264" s="432"/>
      <c r="BJ264" s="432"/>
      <c r="BK264" s="433"/>
    </row>
    <row r="265" spans="1:63" s="425" customFormat="1" ht="21" customHeight="1" x14ac:dyDescent="0.25">
      <c r="A265" s="435" t="s">
        <v>19</v>
      </c>
      <c r="B265" s="435">
        <v>101629</v>
      </c>
      <c r="C265" s="419" t="s">
        <v>20</v>
      </c>
      <c r="D265" s="419" t="s">
        <v>62</v>
      </c>
      <c r="E265" s="435" t="s">
        <v>22</v>
      </c>
      <c r="F265" s="435" t="s">
        <v>23</v>
      </c>
      <c r="G265" s="438">
        <v>46048</v>
      </c>
      <c r="H265" s="403" t="s">
        <v>754</v>
      </c>
      <c r="I265" s="448">
        <v>25061962</v>
      </c>
      <c r="J265" s="435" t="s">
        <v>755</v>
      </c>
      <c r="K265" s="435">
        <v>71992726985</v>
      </c>
      <c r="L265" s="435">
        <v>71992726985</v>
      </c>
      <c r="M265" s="435" t="s">
        <v>70</v>
      </c>
      <c r="O265" s="426"/>
      <c r="Q265" s="430"/>
      <c r="R265" s="431"/>
      <c r="S265" s="432"/>
      <c r="T265" s="432"/>
      <c r="U265" s="432"/>
      <c r="V265" s="432"/>
      <c r="W265" s="432"/>
      <c r="X265" s="432"/>
      <c r="Y265" s="432"/>
      <c r="Z265" s="432"/>
      <c r="AA265" s="432"/>
      <c r="AB265" s="432"/>
      <c r="AC265" s="432"/>
      <c r="AD265" s="432"/>
      <c r="AE265" s="432"/>
      <c r="AF265" s="432"/>
      <c r="AG265" s="432"/>
      <c r="AH265" s="432"/>
      <c r="AI265" s="432"/>
      <c r="AJ265" s="432"/>
      <c r="AK265" s="432"/>
      <c r="AL265" s="432"/>
      <c r="AM265" s="432"/>
      <c r="AN265" s="432"/>
      <c r="AO265" s="432"/>
      <c r="AP265" s="432"/>
      <c r="AQ265" s="432"/>
      <c r="AR265" s="432"/>
      <c r="AS265" s="432"/>
      <c r="AT265" s="432"/>
      <c r="AU265" s="432"/>
      <c r="AV265" s="432"/>
      <c r="AW265" s="432"/>
      <c r="AX265" s="432"/>
      <c r="AY265" s="432"/>
      <c r="AZ265" s="432"/>
      <c r="BA265" s="432"/>
      <c r="BB265" s="432"/>
      <c r="BC265" s="432"/>
      <c r="BD265" s="432"/>
      <c r="BE265" s="432"/>
      <c r="BF265" s="432"/>
      <c r="BG265" s="432"/>
      <c r="BH265" s="432"/>
      <c r="BI265" s="432"/>
      <c r="BJ265" s="432"/>
      <c r="BK265" s="433"/>
    </row>
    <row r="266" spans="1:63" s="425" customFormat="1" ht="38.25" hidden="1" customHeight="1" x14ac:dyDescent="0.25">
      <c r="A266" s="435" t="s">
        <v>19</v>
      </c>
      <c r="B266" s="435">
        <v>101626</v>
      </c>
      <c r="C266" s="419" t="s">
        <v>20</v>
      </c>
      <c r="D266" s="419" t="s">
        <v>21</v>
      </c>
      <c r="E266" s="435" t="s">
        <v>22</v>
      </c>
      <c r="F266" s="435" t="s">
        <v>23</v>
      </c>
      <c r="G266" s="438">
        <v>46050</v>
      </c>
      <c r="H266" s="403" t="s">
        <v>756</v>
      </c>
      <c r="I266" s="448">
        <v>14448343</v>
      </c>
      <c r="J266" s="449" t="s">
        <v>757</v>
      </c>
      <c r="K266" s="435" t="s">
        <v>758</v>
      </c>
      <c r="L266" s="435" t="s">
        <v>758</v>
      </c>
      <c r="M266" s="435" t="s">
        <v>70</v>
      </c>
      <c r="O266" s="426"/>
      <c r="Q266" s="430"/>
      <c r="R266" s="431"/>
      <c r="S266" s="432"/>
      <c r="T266" s="432"/>
      <c r="U266" s="432"/>
      <c r="V266" s="432"/>
      <c r="W266" s="432"/>
      <c r="X266" s="432"/>
      <c r="Y266" s="432"/>
      <c r="Z266" s="432"/>
      <c r="AA266" s="432"/>
      <c r="AB266" s="432"/>
      <c r="AC266" s="432"/>
      <c r="AD266" s="432"/>
      <c r="AE266" s="432"/>
      <c r="AF266" s="432"/>
      <c r="AG266" s="432"/>
      <c r="AH266" s="432"/>
      <c r="AI266" s="432"/>
      <c r="AJ266" s="432"/>
      <c r="AK266" s="432"/>
      <c r="AL266" s="432"/>
      <c r="AM266" s="432"/>
      <c r="AN266" s="432"/>
      <c r="AO266" s="432"/>
      <c r="AP266" s="432"/>
      <c r="AQ266" s="432"/>
      <c r="AR266" s="432"/>
      <c r="AS266" s="432"/>
      <c r="AT266" s="432"/>
      <c r="AU266" s="432"/>
      <c r="AV266" s="432"/>
      <c r="AW266" s="432"/>
      <c r="AX266" s="432"/>
      <c r="AY266" s="432"/>
      <c r="AZ266" s="432"/>
      <c r="BA266" s="432"/>
      <c r="BB266" s="432"/>
      <c r="BC266" s="432"/>
      <c r="BD266" s="432"/>
      <c r="BE266" s="432"/>
      <c r="BF266" s="432"/>
      <c r="BG266" s="432"/>
      <c r="BH266" s="432"/>
      <c r="BI266" s="432"/>
      <c r="BJ266" s="432"/>
      <c r="BK266" s="433"/>
    </row>
    <row r="267" spans="1:63" ht="21" hidden="1" customHeight="1" x14ac:dyDescent="0.25">
      <c r="A267" s="546" t="s">
        <v>19</v>
      </c>
      <c r="B267" s="546">
        <v>101625</v>
      </c>
      <c r="C267" s="547" t="s">
        <v>20</v>
      </c>
      <c r="D267" s="547" t="s">
        <v>187</v>
      </c>
      <c r="E267" s="546" t="s">
        <v>22</v>
      </c>
      <c r="F267" s="546" t="s">
        <v>23</v>
      </c>
      <c r="G267" s="548">
        <v>46050</v>
      </c>
      <c r="H267" s="549" t="s">
        <v>759</v>
      </c>
      <c r="I267" s="550">
        <v>232961436</v>
      </c>
      <c r="J267" s="557" t="s">
        <v>760</v>
      </c>
      <c r="K267" s="546" t="s">
        <v>761</v>
      </c>
      <c r="L267" s="546" t="s">
        <v>761</v>
      </c>
      <c r="M267" s="546" t="s">
        <v>70</v>
      </c>
      <c r="O267" s="547" t="s">
        <v>75</v>
      </c>
    </row>
    <row r="268" spans="1:63" s="425" customFormat="1" ht="21" hidden="1" customHeight="1" x14ac:dyDescent="0.25">
      <c r="A268" s="435" t="s">
        <v>19</v>
      </c>
      <c r="B268" s="435">
        <v>101626</v>
      </c>
      <c r="C268" s="419" t="s">
        <v>20</v>
      </c>
      <c r="D268" s="419" t="s">
        <v>21</v>
      </c>
      <c r="E268" s="435" t="s">
        <v>22</v>
      </c>
      <c r="F268" s="435" t="s">
        <v>23</v>
      </c>
      <c r="G268" s="438">
        <v>46050</v>
      </c>
      <c r="H268" s="403" t="s">
        <v>762</v>
      </c>
      <c r="I268" s="448">
        <v>25061274</v>
      </c>
      <c r="J268" s="449" t="s">
        <v>763</v>
      </c>
      <c r="K268" s="435" t="s">
        <v>764</v>
      </c>
      <c r="L268" s="435" t="s">
        <v>764</v>
      </c>
      <c r="M268" s="435" t="s">
        <v>70</v>
      </c>
      <c r="O268" s="426"/>
      <c r="Q268" s="430"/>
      <c r="R268" s="431"/>
      <c r="S268" s="432"/>
      <c r="T268" s="432"/>
      <c r="U268" s="432"/>
      <c r="V268" s="432"/>
      <c r="W268" s="432"/>
      <c r="X268" s="432"/>
      <c r="Y268" s="432"/>
      <c r="Z268" s="432"/>
      <c r="AA268" s="432"/>
      <c r="AB268" s="432"/>
      <c r="AC268" s="432"/>
      <c r="AD268" s="432"/>
      <c r="AE268" s="432"/>
      <c r="AF268" s="432"/>
      <c r="AG268" s="432"/>
      <c r="AH268" s="432"/>
      <c r="AI268" s="432"/>
      <c r="AJ268" s="432"/>
      <c r="AK268" s="432"/>
      <c r="AL268" s="432"/>
      <c r="AM268" s="432"/>
      <c r="AN268" s="432"/>
      <c r="AO268" s="432"/>
      <c r="AP268" s="432"/>
      <c r="AQ268" s="432"/>
      <c r="AR268" s="432"/>
      <c r="AS268" s="432"/>
      <c r="AT268" s="432"/>
      <c r="AU268" s="432"/>
      <c r="AV268" s="432"/>
      <c r="AW268" s="432"/>
      <c r="AX268" s="432"/>
      <c r="AY268" s="432"/>
      <c r="AZ268" s="432"/>
      <c r="BA268" s="432"/>
      <c r="BB268" s="432"/>
      <c r="BC268" s="432"/>
      <c r="BD268" s="432"/>
      <c r="BE268" s="432"/>
      <c r="BF268" s="432"/>
      <c r="BG268" s="432"/>
      <c r="BH268" s="432"/>
      <c r="BI268" s="432"/>
      <c r="BJ268" s="432"/>
      <c r="BK268" s="433"/>
    </row>
    <row r="269" spans="1:63" s="471" customFormat="1" ht="21" hidden="1" customHeight="1" x14ac:dyDescent="0.25">
      <c r="A269" s="471" t="s">
        <v>19</v>
      </c>
      <c r="B269" s="471">
        <v>101628</v>
      </c>
      <c r="C269" s="472" t="s">
        <v>20</v>
      </c>
      <c r="D269" s="472" t="s">
        <v>252</v>
      </c>
      <c r="E269" s="471" t="s">
        <v>22</v>
      </c>
      <c r="F269" s="471" t="s">
        <v>23</v>
      </c>
      <c r="G269" s="473">
        <v>46048</v>
      </c>
      <c r="H269" s="474" t="s">
        <v>765</v>
      </c>
      <c r="I269" s="475">
        <v>232952260</v>
      </c>
      <c r="J269" s="471" t="s">
        <v>766</v>
      </c>
      <c r="K269" s="471">
        <v>7194064500</v>
      </c>
      <c r="L269" s="471">
        <v>71994064500</v>
      </c>
      <c r="M269" s="471" t="s">
        <v>70</v>
      </c>
      <c r="O269" s="472"/>
      <c r="Q269" s="477"/>
      <c r="R269" s="478"/>
      <c r="S269" s="479"/>
      <c r="T269" s="479"/>
      <c r="U269" s="479"/>
      <c r="V269" s="479"/>
      <c r="W269" s="479"/>
      <c r="X269" s="479"/>
      <c r="Y269" s="479"/>
      <c r="Z269" s="479"/>
      <c r="AA269" s="479"/>
      <c r="AB269" s="479"/>
      <c r="AC269" s="479"/>
      <c r="AD269" s="479"/>
      <c r="AE269" s="479"/>
      <c r="AF269" s="479"/>
      <c r="AG269" s="479"/>
      <c r="AH269" s="479"/>
      <c r="AI269" s="479"/>
      <c r="AJ269" s="479"/>
      <c r="AK269" s="479"/>
      <c r="AL269" s="479"/>
      <c r="AM269" s="479"/>
      <c r="AN269" s="479"/>
      <c r="AO269" s="479"/>
      <c r="AP269" s="479"/>
      <c r="AQ269" s="479"/>
      <c r="AR269" s="479"/>
      <c r="AS269" s="479"/>
      <c r="AT269" s="479"/>
      <c r="AU269" s="479"/>
      <c r="AV269" s="479"/>
      <c r="AW269" s="479"/>
      <c r="AX269" s="479"/>
      <c r="AY269" s="479"/>
      <c r="AZ269" s="479"/>
      <c r="BA269" s="479"/>
      <c r="BB269" s="479"/>
      <c r="BC269" s="479"/>
      <c r="BD269" s="479"/>
      <c r="BE269" s="479"/>
      <c r="BF269" s="479"/>
      <c r="BG269" s="479"/>
      <c r="BH269" s="479"/>
      <c r="BI269" s="479"/>
      <c r="BJ269" s="479"/>
      <c r="BK269" s="480"/>
    </row>
    <row r="270" spans="1:63" s="425" customFormat="1" ht="21" hidden="1" customHeight="1" x14ac:dyDescent="0.25">
      <c r="A270" s="435" t="s">
        <v>19</v>
      </c>
      <c r="B270" s="435">
        <v>101628</v>
      </c>
      <c r="C270" s="419" t="s">
        <v>20</v>
      </c>
      <c r="D270" s="419" t="s">
        <v>252</v>
      </c>
      <c r="E270" s="435" t="s">
        <v>22</v>
      </c>
      <c r="F270" s="435" t="s">
        <v>23</v>
      </c>
      <c r="G270" s="438">
        <v>46050</v>
      </c>
      <c r="H270" s="403" t="s">
        <v>767</v>
      </c>
      <c r="I270" s="448">
        <v>25062385</v>
      </c>
      <c r="J270" s="435" t="s">
        <v>768</v>
      </c>
      <c r="K270" s="435">
        <v>71992969882</v>
      </c>
      <c r="L270" s="435">
        <v>71992969882</v>
      </c>
      <c r="M270" s="435" t="s">
        <v>70</v>
      </c>
      <c r="O270" s="426"/>
      <c r="Q270" s="430"/>
      <c r="R270" s="431"/>
      <c r="S270" s="432"/>
      <c r="T270" s="432"/>
      <c r="U270" s="432"/>
      <c r="V270" s="432"/>
      <c r="W270" s="432"/>
      <c r="X270" s="432"/>
      <c r="Y270" s="432"/>
      <c r="Z270" s="432"/>
      <c r="AA270" s="432"/>
      <c r="AB270" s="432"/>
      <c r="AC270" s="432"/>
      <c r="AD270" s="432"/>
      <c r="AE270" s="432"/>
      <c r="AF270" s="432"/>
      <c r="AG270" s="432"/>
      <c r="AH270" s="432"/>
      <c r="AI270" s="432"/>
      <c r="AJ270" s="432"/>
      <c r="AK270" s="432"/>
      <c r="AL270" s="432"/>
      <c r="AM270" s="432"/>
      <c r="AN270" s="432"/>
      <c r="AO270" s="432"/>
      <c r="AP270" s="432"/>
      <c r="AQ270" s="432"/>
      <c r="AR270" s="432"/>
      <c r="AS270" s="432"/>
      <c r="AT270" s="432"/>
      <c r="AU270" s="432"/>
      <c r="AV270" s="432"/>
      <c r="AW270" s="432"/>
      <c r="AX270" s="432"/>
      <c r="AY270" s="432"/>
      <c r="AZ270" s="432"/>
      <c r="BA270" s="432"/>
      <c r="BB270" s="432"/>
      <c r="BC270" s="432"/>
      <c r="BD270" s="432"/>
      <c r="BE270" s="432"/>
      <c r="BF270" s="432"/>
      <c r="BG270" s="432"/>
      <c r="BH270" s="432"/>
      <c r="BI270" s="432"/>
      <c r="BJ270" s="432"/>
      <c r="BK270" s="433"/>
    </row>
    <row r="271" spans="1:63" s="425" customFormat="1" ht="21" hidden="1" customHeight="1" x14ac:dyDescent="0.25">
      <c r="A271" s="435" t="s">
        <v>19</v>
      </c>
      <c r="B271" s="435">
        <v>101628</v>
      </c>
      <c r="C271" s="419" t="s">
        <v>20</v>
      </c>
      <c r="D271" s="419" t="s">
        <v>252</v>
      </c>
      <c r="E271" s="435" t="s">
        <v>22</v>
      </c>
      <c r="F271" s="435" t="s">
        <v>23</v>
      </c>
      <c r="G271" s="438">
        <v>46051</v>
      </c>
      <c r="H271" s="403" t="s">
        <v>769</v>
      </c>
      <c r="I271" s="448">
        <v>26062797</v>
      </c>
      <c r="J271" s="449" t="s">
        <v>770</v>
      </c>
      <c r="K271" s="435">
        <v>71981568261</v>
      </c>
      <c r="L271" s="435">
        <v>71981568261</v>
      </c>
      <c r="M271" s="435" t="s">
        <v>70</v>
      </c>
      <c r="O271" s="426"/>
      <c r="Q271" s="430"/>
      <c r="R271" s="431"/>
      <c r="S271" s="432"/>
      <c r="T271" s="432"/>
      <c r="U271" s="432"/>
      <c r="V271" s="432"/>
      <c r="W271" s="432"/>
      <c r="X271" s="432"/>
      <c r="Y271" s="432"/>
      <c r="Z271" s="432"/>
      <c r="AA271" s="432"/>
      <c r="AB271" s="432"/>
      <c r="AC271" s="432"/>
      <c r="AD271" s="432"/>
      <c r="AE271" s="432"/>
      <c r="AF271" s="432"/>
      <c r="AG271" s="432"/>
      <c r="AH271" s="432"/>
      <c r="AI271" s="432"/>
      <c r="AJ271" s="432"/>
      <c r="AK271" s="432"/>
      <c r="AL271" s="432"/>
      <c r="AM271" s="432"/>
      <c r="AN271" s="432"/>
      <c r="AO271" s="432"/>
      <c r="AP271" s="432"/>
      <c r="AQ271" s="432"/>
      <c r="AR271" s="432"/>
      <c r="AS271" s="432"/>
      <c r="AT271" s="432"/>
      <c r="AU271" s="432"/>
      <c r="AV271" s="432"/>
      <c r="AW271" s="432"/>
      <c r="AX271" s="432"/>
      <c r="AY271" s="432"/>
      <c r="AZ271" s="432"/>
      <c r="BA271" s="432"/>
      <c r="BB271" s="432"/>
      <c r="BC271" s="432"/>
      <c r="BD271" s="432"/>
      <c r="BE271" s="432"/>
      <c r="BF271" s="432"/>
      <c r="BG271" s="432"/>
      <c r="BH271" s="432"/>
      <c r="BI271" s="432"/>
      <c r="BJ271" s="432"/>
      <c r="BK271" s="433"/>
    </row>
    <row r="272" spans="1:63" s="425" customFormat="1" ht="21" hidden="1" customHeight="1" x14ac:dyDescent="0.25">
      <c r="C272" s="426"/>
      <c r="D272" s="426" t="s">
        <v>252</v>
      </c>
      <c r="E272" s="425" t="s">
        <v>22</v>
      </c>
      <c r="F272" s="425" t="s">
        <v>23</v>
      </c>
      <c r="H272" s="428" t="s">
        <v>767</v>
      </c>
      <c r="I272" s="429">
        <v>25062385</v>
      </c>
      <c r="J272" s="463" t="s">
        <v>768</v>
      </c>
      <c r="K272" s="425">
        <v>71992969882</v>
      </c>
      <c r="L272" s="425">
        <v>71992969882</v>
      </c>
      <c r="O272" s="426"/>
      <c r="Q272" s="430"/>
      <c r="R272" s="431"/>
      <c r="S272" s="432"/>
      <c r="T272" s="432"/>
      <c r="U272" s="432"/>
      <c r="V272" s="432"/>
      <c r="W272" s="432"/>
      <c r="X272" s="432"/>
      <c r="Y272" s="432"/>
      <c r="Z272" s="432"/>
      <c r="AA272" s="432"/>
      <c r="AB272" s="432"/>
      <c r="AC272" s="432"/>
      <c r="AD272" s="432"/>
      <c r="AE272" s="432"/>
      <c r="AF272" s="432"/>
      <c r="AG272" s="432"/>
      <c r="AH272" s="432"/>
      <c r="AI272" s="432"/>
      <c r="AJ272" s="432"/>
      <c r="AK272" s="432"/>
      <c r="AL272" s="432"/>
      <c r="AM272" s="432"/>
      <c r="AN272" s="432"/>
      <c r="AO272" s="432"/>
      <c r="AP272" s="432"/>
      <c r="AQ272" s="432"/>
      <c r="AR272" s="432"/>
      <c r="AS272" s="432"/>
      <c r="AT272" s="432"/>
      <c r="AU272" s="432"/>
      <c r="AV272" s="432"/>
      <c r="AW272" s="432"/>
      <c r="AX272" s="432"/>
      <c r="AY272" s="432"/>
      <c r="AZ272" s="432"/>
      <c r="BA272" s="432"/>
      <c r="BB272" s="432"/>
      <c r="BC272" s="432"/>
      <c r="BD272" s="432"/>
      <c r="BE272" s="432"/>
      <c r="BF272" s="432"/>
      <c r="BG272" s="432"/>
      <c r="BH272" s="432"/>
      <c r="BI272" s="432"/>
      <c r="BJ272" s="432"/>
      <c r="BK272" s="433"/>
    </row>
    <row r="273" spans="1:63" s="425" customFormat="1" ht="21" customHeight="1" x14ac:dyDescent="0.25">
      <c r="A273" s="435" t="s">
        <v>19</v>
      </c>
      <c r="B273" s="435">
        <v>101629</v>
      </c>
      <c r="C273" s="419" t="s">
        <v>20</v>
      </c>
      <c r="D273" s="419" t="s">
        <v>62</v>
      </c>
      <c r="E273" s="435" t="s">
        <v>22</v>
      </c>
      <c r="F273" s="435" t="s">
        <v>23</v>
      </c>
      <c r="G273" s="438">
        <v>46052</v>
      </c>
      <c r="H273" s="403" t="s">
        <v>771</v>
      </c>
      <c r="I273" s="448">
        <v>26062929</v>
      </c>
      <c r="J273" s="449" t="s">
        <v>772</v>
      </c>
      <c r="K273" s="435">
        <v>71991093229</v>
      </c>
      <c r="L273" s="435">
        <v>71991093229</v>
      </c>
      <c r="M273" s="435" t="s">
        <v>70</v>
      </c>
      <c r="O273" s="426"/>
      <c r="Q273" s="430"/>
      <c r="R273" s="431"/>
      <c r="S273" s="432"/>
      <c r="T273" s="432"/>
      <c r="U273" s="432"/>
      <c r="V273" s="432"/>
      <c r="W273" s="432"/>
      <c r="X273" s="432"/>
      <c r="Y273" s="432"/>
      <c r="Z273" s="432"/>
      <c r="AA273" s="432"/>
      <c r="AB273" s="432"/>
      <c r="AC273" s="432"/>
      <c r="AD273" s="432"/>
      <c r="AE273" s="432"/>
      <c r="AF273" s="432"/>
      <c r="AG273" s="432"/>
      <c r="AH273" s="432"/>
      <c r="AI273" s="432"/>
      <c r="AJ273" s="432"/>
      <c r="AK273" s="432"/>
      <c r="AL273" s="432"/>
      <c r="AM273" s="432"/>
      <c r="AN273" s="432"/>
      <c r="AO273" s="432"/>
      <c r="AP273" s="432"/>
      <c r="AQ273" s="432"/>
      <c r="AR273" s="432"/>
      <c r="AS273" s="432"/>
      <c r="AT273" s="432"/>
      <c r="AU273" s="432"/>
      <c r="AV273" s="432"/>
      <c r="AW273" s="432"/>
      <c r="AX273" s="432"/>
      <c r="AY273" s="432"/>
      <c r="AZ273" s="432"/>
      <c r="BA273" s="432"/>
      <c r="BB273" s="432"/>
      <c r="BC273" s="432"/>
      <c r="BD273" s="432"/>
      <c r="BE273" s="432"/>
      <c r="BF273" s="432"/>
      <c r="BG273" s="432"/>
      <c r="BH273" s="432"/>
      <c r="BI273" s="432"/>
      <c r="BJ273" s="432"/>
      <c r="BK273" s="433"/>
    </row>
    <row r="274" spans="1:63" s="425" customFormat="1" ht="21" hidden="1" customHeight="1" x14ac:dyDescent="0.25">
      <c r="A274" s="435" t="s">
        <v>19</v>
      </c>
      <c r="B274" s="435">
        <v>101625</v>
      </c>
      <c r="C274" s="419" t="s">
        <v>20</v>
      </c>
      <c r="D274" s="419" t="s">
        <v>187</v>
      </c>
      <c r="E274" s="435" t="s">
        <v>22</v>
      </c>
      <c r="F274" s="435" t="s">
        <v>23</v>
      </c>
      <c r="G274" s="438">
        <v>46052</v>
      </c>
      <c r="H274" s="403" t="s">
        <v>773</v>
      </c>
      <c r="I274" s="448">
        <v>26062730</v>
      </c>
      <c r="J274" s="449" t="s">
        <v>774</v>
      </c>
      <c r="K274" s="435">
        <v>71982467976</v>
      </c>
      <c r="L274" s="435">
        <v>71982467976</v>
      </c>
      <c r="M274" s="435" t="s">
        <v>70</v>
      </c>
      <c r="O274" s="426"/>
      <c r="Q274" s="430"/>
      <c r="R274" s="431"/>
      <c r="S274" s="432"/>
      <c r="T274" s="432"/>
      <c r="U274" s="432"/>
      <c r="V274" s="432"/>
      <c r="W274" s="432"/>
      <c r="X274" s="432"/>
      <c r="Y274" s="432"/>
      <c r="Z274" s="432"/>
      <c r="AA274" s="432"/>
      <c r="AB274" s="432"/>
      <c r="AC274" s="432"/>
      <c r="AD274" s="432"/>
      <c r="AE274" s="432"/>
      <c r="AF274" s="432"/>
      <c r="AG274" s="432"/>
      <c r="AH274" s="432"/>
      <c r="AI274" s="432"/>
      <c r="AJ274" s="432"/>
      <c r="AK274" s="432"/>
      <c r="AL274" s="432"/>
      <c r="AM274" s="432"/>
      <c r="AN274" s="432"/>
      <c r="AO274" s="432"/>
      <c r="AP274" s="432"/>
      <c r="AQ274" s="432"/>
      <c r="AR274" s="432"/>
      <c r="AS274" s="432"/>
      <c r="AT274" s="432"/>
      <c r="AU274" s="432"/>
      <c r="AV274" s="432"/>
      <c r="AW274" s="432"/>
      <c r="AX274" s="432"/>
      <c r="AY274" s="432"/>
      <c r="AZ274" s="432"/>
      <c r="BA274" s="432"/>
      <c r="BB274" s="432"/>
      <c r="BC274" s="432"/>
      <c r="BD274" s="432"/>
      <c r="BE274" s="432"/>
      <c r="BF274" s="432"/>
      <c r="BG274" s="432"/>
      <c r="BH274" s="432"/>
      <c r="BI274" s="432"/>
      <c r="BJ274" s="432"/>
      <c r="BK274" s="433"/>
    </row>
    <row r="275" spans="1:63" s="425" customFormat="1" ht="21" hidden="1" customHeight="1" x14ac:dyDescent="0.25">
      <c r="A275" s="435" t="s">
        <v>19</v>
      </c>
      <c r="B275" s="435">
        <v>101627</v>
      </c>
      <c r="C275" s="419" t="s">
        <v>20</v>
      </c>
      <c r="D275" s="419" t="s">
        <v>27</v>
      </c>
      <c r="E275" s="435" t="s">
        <v>22</v>
      </c>
      <c r="F275" s="435" t="s">
        <v>23</v>
      </c>
      <c r="G275" s="438">
        <v>46052</v>
      </c>
      <c r="H275" s="403" t="s">
        <v>775</v>
      </c>
      <c r="I275" s="448">
        <v>25062278</v>
      </c>
      <c r="J275" s="449" t="s">
        <v>776</v>
      </c>
      <c r="K275" s="435">
        <v>71987337410</v>
      </c>
      <c r="L275" s="435">
        <v>71987337410</v>
      </c>
      <c r="M275" s="435" t="s">
        <v>70</v>
      </c>
      <c r="O275" s="426"/>
      <c r="Q275" s="430"/>
      <c r="R275" s="431"/>
      <c r="S275" s="432"/>
      <c r="T275" s="432"/>
      <c r="U275" s="432"/>
      <c r="V275" s="432"/>
      <c r="W275" s="432"/>
      <c r="X275" s="432"/>
      <c r="Y275" s="432"/>
      <c r="Z275" s="432"/>
      <c r="AA275" s="432"/>
      <c r="AB275" s="432"/>
      <c r="AC275" s="432"/>
      <c r="AD275" s="432"/>
      <c r="AE275" s="432"/>
      <c r="AF275" s="432"/>
      <c r="AG275" s="432"/>
      <c r="AH275" s="432"/>
      <c r="AI275" s="432"/>
      <c r="AJ275" s="432"/>
      <c r="AK275" s="432"/>
      <c r="AL275" s="432"/>
      <c r="AM275" s="432"/>
      <c r="AN275" s="432"/>
      <c r="AO275" s="432"/>
      <c r="AP275" s="432"/>
      <c r="AQ275" s="432"/>
      <c r="AR275" s="432"/>
      <c r="AS275" s="432"/>
      <c r="AT275" s="432"/>
      <c r="AU275" s="432"/>
      <c r="AV275" s="432"/>
      <c r="AW275" s="432"/>
      <c r="AX275" s="432"/>
      <c r="AY275" s="432"/>
      <c r="AZ275" s="432"/>
      <c r="BA275" s="432"/>
      <c r="BB275" s="432"/>
      <c r="BC275" s="432"/>
      <c r="BD275" s="432"/>
      <c r="BE275" s="432"/>
      <c r="BF275" s="432"/>
      <c r="BG275" s="432"/>
      <c r="BH275" s="432"/>
      <c r="BI275" s="432"/>
      <c r="BJ275" s="432"/>
      <c r="BK275" s="433"/>
    </row>
    <row r="276" spans="1:63" ht="21" hidden="1" customHeight="1" x14ac:dyDescent="0.25">
      <c r="A276" s="546" t="s">
        <v>19</v>
      </c>
      <c r="B276" s="546">
        <v>101627</v>
      </c>
      <c r="C276" s="547" t="s">
        <v>175</v>
      </c>
      <c r="D276" s="547" t="s">
        <v>27</v>
      </c>
      <c r="E276" s="546" t="s">
        <v>22</v>
      </c>
      <c r="F276" s="546" t="s">
        <v>23</v>
      </c>
      <c r="G276" s="548">
        <v>46052</v>
      </c>
      <c r="H276" s="549" t="s">
        <v>777</v>
      </c>
      <c r="I276" s="550">
        <v>25062136</v>
      </c>
      <c r="J276" s="546" t="s">
        <v>778</v>
      </c>
      <c r="K276" s="546">
        <v>71983933196</v>
      </c>
      <c r="L276" s="546">
        <v>71983933196</v>
      </c>
      <c r="M276" s="546" t="s">
        <v>70</v>
      </c>
      <c r="O276" s="547" t="s">
        <v>175</v>
      </c>
    </row>
    <row r="277" spans="1:63" s="425" customFormat="1" ht="21" hidden="1" customHeight="1" x14ac:dyDescent="0.25">
      <c r="A277" s="435" t="s">
        <v>19</v>
      </c>
      <c r="B277" s="435">
        <v>101626</v>
      </c>
      <c r="C277" s="419" t="s">
        <v>20</v>
      </c>
      <c r="D277" s="419" t="s">
        <v>21</v>
      </c>
      <c r="E277" s="435" t="s">
        <v>22</v>
      </c>
      <c r="F277" s="435" t="s">
        <v>23</v>
      </c>
      <c r="G277" s="438">
        <v>46052</v>
      </c>
      <c r="H277" s="403" t="s">
        <v>779</v>
      </c>
      <c r="I277" s="448">
        <v>25061914</v>
      </c>
      <c r="J277" s="435" t="s">
        <v>780</v>
      </c>
      <c r="K277" s="435">
        <v>71993545818</v>
      </c>
      <c r="L277" s="435">
        <v>71993545818</v>
      </c>
      <c r="M277" s="435" t="s">
        <v>70</v>
      </c>
      <c r="O277" s="426"/>
      <c r="Q277" s="430"/>
      <c r="R277" s="431"/>
      <c r="S277" s="432"/>
      <c r="T277" s="432"/>
      <c r="U277" s="432"/>
      <c r="V277" s="432"/>
      <c r="W277" s="432"/>
      <c r="X277" s="432"/>
      <c r="Y277" s="432"/>
      <c r="Z277" s="432"/>
      <c r="AA277" s="432"/>
      <c r="AB277" s="432"/>
      <c r="AC277" s="432"/>
      <c r="AD277" s="432"/>
      <c r="AE277" s="432"/>
      <c r="AF277" s="432"/>
      <c r="AG277" s="432"/>
      <c r="AH277" s="432"/>
      <c r="AI277" s="432"/>
      <c r="AJ277" s="432"/>
      <c r="AK277" s="432"/>
      <c r="AL277" s="432"/>
      <c r="AM277" s="432"/>
      <c r="AN277" s="432"/>
      <c r="AO277" s="432"/>
      <c r="AP277" s="432"/>
      <c r="AQ277" s="432"/>
      <c r="AR277" s="432"/>
      <c r="AS277" s="432"/>
      <c r="AT277" s="432"/>
      <c r="AU277" s="432"/>
      <c r="AV277" s="432"/>
      <c r="AW277" s="432"/>
      <c r="AX277" s="432"/>
      <c r="AY277" s="432"/>
      <c r="AZ277" s="432"/>
      <c r="BA277" s="432"/>
      <c r="BB277" s="432"/>
      <c r="BC277" s="432"/>
      <c r="BD277" s="432"/>
      <c r="BE277" s="432"/>
      <c r="BF277" s="432"/>
      <c r="BG277" s="432"/>
      <c r="BH277" s="432"/>
      <c r="BI277" s="432"/>
      <c r="BJ277" s="432"/>
      <c r="BK277" s="433"/>
    </row>
    <row r="278" spans="1:63" s="425" customFormat="1" ht="21" hidden="1" customHeight="1" x14ac:dyDescent="0.25">
      <c r="A278" s="435" t="s">
        <v>19</v>
      </c>
      <c r="B278" s="435">
        <v>101627</v>
      </c>
      <c r="C278" s="419" t="s">
        <v>20</v>
      </c>
      <c r="D278" s="419" t="s">
        <v>27</v>
      </c>
      <c r="E278" s="435" t="s">
        <v>22</v>
      </c>
      <c r="F278" s="435" t="s">
        <v>23</v>
      </c>
      <c r="G278" s="438">
        <v>46052</v>
      </c>
      <c r="H278" s="403" t="s">
        <v>781</v>
      </c>
      <c r="I278" s="448">
        <v>25061787</v>
      </c>
      <c r="J278" s="449" t="s">
        <v>782</v>
      </c>
      <c r="K278" s="435">
        <v>71983028802</v>
      </c>
      <c r="L278" s="435">
        <v>71983028802</v>
      </c>
      <c r="M278" s="435" t="s">
        <v>70</v>
      </c>
      <c r="O278" s="426"/>
      <c r="Q278" s="430"/>
      <c r="R278" s="431"/>
      <c r="S278" s="432"/>
      <c r="T278" s="432"/>
      <c r="U278" s="432"/>
      <c r="V278" s="432"/>
      <c r="W278" s="432"/>
      <c r="X278" s="432"/>
      <c r="Y278" s="432"/>
      <c r="Z278" s="432"/>
      <c r="AA278" s="432"/>
      <c r="AB278" s="432"/>
      <c r="AC278" s="432"/>
      <c r="AD278" s="432"/>
      <c r="AE278" s="432"/>
      <c r="AF278" s="432"/>
      <c r="AG278" s="432"/>
      <c r="AH278" s="432"/>
      <c r="AI278" s="432"/>
      <c r="AJ278" s="432"/>
      <c r="AK278" s="432"/>
      <c r="AL278" s="432"/>
      <c r="AM278" s="432"/>
      <c r="AN278" s="432"/>
      <c r="AO278" s="432"/>
      <c r="AP278" s="432"/>
      <c r="AQ278" s="432"/>
      <c r="AR278" s="432"/>
      <c r="AS278" s="432"/>
      <c r="AT278" s="432"/>
      <c r="AU278" s="432"/>
      <c r="AV278" s="432"/>
      <c r="AW278" s="432"/>
      <c r="AX278" s="432"/>
      <c r="AY278" s="432"/>
      <c r="AZ278" s="432"/>
      <c r="BA278" s="432"/>
      <c r="BB278" s="432"/>
      <c r="BC278" s="432"/>
      <c r="BD278" s="432"/>
      <c r="BE278" s="432"/>
      <c r="BF278" s="432"/>
      <c r="BG278" s="432"/>
      <c r="BH278" s="432"/>
      <c r="BI278" s="432"/>
      <c r="BJ278" s="432"/>
      <c r="BK278" s="433"/>
    </row>
    <row r="279" spans="1:63" s="425" customFormat="1" ht="21" hidden="1" customHeight="1" x14ac:dyDescent="0.25">
      <c r="A279" s="435" t="s">
        <v>19</v>
      </c>
      <c r="B279" s="435">
        <v>101622</v>
      </c>
      <c r="C279" s="419" t="s">
        <v>20</v>
      </c>
      <c r="D279" s="419" t="s">
        <v>31</v>
      </c>
      <c r="E279" s="435" t="s">
        <v>22</v>
      </c>
      <c r="F279" s="435" t="s">
        <v>23</v>
      </c>
      <c r="G279" s="438">
        <v>46052</v>
      </c>
      <c r="H279" s="403" t="s">
        <v>783</v>
      </c>
      <c r="I279" s="448">
        <v>25061303</v>
      </c>
      <c r="J279" s="435" t="s">
        <v>784</v>
      </c>
      <c r="K279" s="435">
        <v>71983963654</v>
      </c>
      <c r="L279" s="435">
        <v>71983963654</v>
      </c>
      <c r="M279" s="435" t="s">
        <v>70</v>
      </c>
      <c r="O279" s="426"/>
      <c r="Q279" s="430"/>
      <c r="R279" s="431"/>
      <c r="S279" s="432"/>
      <c r="T279" s="432"/>
      <c r="U279" s="432"/>
      <c r="V279" s="432"/>
      <c r="W279" s="432"/>
      <c r="X279" s="432"/>
      <c r="Y279" s="432"/>
      <c r="Z279" s="432"/>
      <c r="AA279" s="432"/>
      <c r="AB279" s="432"/>
      <c r="AC279" s="432"/>
      <c r="AD279" s="432"/>
      <c r="AE279" s="432"/>
      <c r="AF279" s="432"/>
      <c r="AG279" s="432"/>
      <c r="AH279" s="432"/>
      <c r="AI279" s="432"/>
      <c r="AJ279" s="432"/>
      <c r="AK279" s="432"/>
      <c r="AL279" s="432"/>
      <c r="AM279" s="432"/>
      <c r="AN279" s="432"/>
      <c r="AO279" s="432"/>
      <c r="AP279" s="432"/>
      <c r="AQ279" s="432"/>
      <c r="AR279" s="432"/>
      <c r="AS279" s="432"/>
      <c r="AT279" s="432"/>
      <c r="AU279" s="432"/>
      <c r="AV279" s="432"/>
      <c r="AW279" s="432"/>
      <c r="AX279" s="432"/>
      <c r="AY279" s="432"/>
      <c r="AZ279" s="432"/>
      <c r="BA279" s="432"/>
      <c r="BB279" s="432"/>
      <c r="BC279" s="432"/>
      <c r="BD279" s="432"/>
      <c r="BE279" s="432"/>
      <c r="BF279" s="432"/>
      <c r="BG279" s="432"/>
      <c r="BH279" s="432"/>
      <c r="BI279" s="432"/>
      <c r="BJ279" s="432"/>
      <c r="BK279" s="433"/>
    </row>
    <row r="280" spans="1:63" s="425" customFormat="1" ht="21" hidden="1" customHeight="1" x14ac:dyDescent="0.25">
      <c r="A280" s="435" t="s">
        <v>19</v>
      </c>
      <c r="B280" s="435">
        <v>101627</v>
      </c>
      <c r="C280" s="419" t="s">
        <v>20</v>
      </c>
      <c r="D280" s="419" t="s">
        <v>27</v>
      </c>
      <c r="E280" s="435" t="s">
        <v>22</v>
      </c>
      <c r="F280" s="435" t="s">
        <v>23</v>
      </c>
      <c r="G280" s="438">
        <v>46052</v>
      </c>
      <c r="H280" s="403" t="s">
        <v>785</v>
      </c>
      <c r="I280" s="448">
        <v>25059980</v>
      </c>
      <c r="J280" s="435" t="s">
        <v>786</v>
      </c>
      <c r="K280" s="435">
        <v>71986728605</v>
      </c>
      <c r="L280" s="435">
        <v>71986728605</v>
      </c>
      <c r="M280" s="435" t="s">
        <v>70</v>
      </c>
      <c r="N280" s="435"/>
      <c r="O280" s="426"/>
      <c r="Q280" s="430"/>
      <c r="R280" s="431"/>
      <c r="S280" s="432"/>
      <c r="T280" s="432"/>
      <c r="U280" s="432"/>
      <c r="V280" s="432"/>
      <c r="W280" s="432"/>
      <c r="X280" s="432"/>
      <c r="Y280" s="432"/>
      <c r="Z280" s="432"/>
      <c r="AA280" s="432"/>
      <c r="AB280" s="432"/>
      <c r="AC280" s="432"/>
      <c r="AD280" s="432"/>
      <c r="AE280" s="432"/>
      <c r="AF280" s="432"/>
      <c r="AG280" s="432"/>
      <c r="AH280" s="432"/>
      <c r="AI280" s="432"/>
      <c r="AJ280" s="432"/>
      <c r="AK280" s="432"/>
      <c r="AL280" s="432"/>
      <c r="AM280" s="432"/>
      <c r="AN280" s="432"/>
      <c r="AO280" s="432"/>
      <c r="AP280" s="432"/>
      <c r="AQ280" s="432"/>
      <c r="AR280" s="432"/>
      <c r="AS280" s="432"/>
      <c r="AT280" s="432"/>
      <c r="AU280" s="432"/>
      <c r="AV280" s="432"/>
      <c r="AW280" s="432"/>
      <c r="AX280" s="432"/>
      <c r="AY280" s="432"/>
      <c r="AZ280" s="432"/>
      <c r="BA280" s="432"/>
      <c r="BB280" s="432"/>
      <c r="BC280" s="432"/>
      <c r="BD280" s="432"/>
      <c r="BE280" s="432"/>
      <c r="BF280" s="432"/>
      <c r="BG280" s="432"/>
      <c r="BH280" s="432"/>
      <c r="BI280" s="432"/>
      <c r="BJ280" s="432"/>
      <c r="BK280" s="433"/>
    </row>
    <row r="281" spans="1:63" s="425" customFormat="1" ht="21" hidden="1" customHeight="1" x14ac:dyDescent="0.25">
      <c r="A281" s="383" t="s">
        <v>19</v>
      </c>
      <c r="B281" s="383">
        <v>101628</v>
      </c>
      <c r="C281" s="389" t="s">
        <v>20</v>
      </c>
      <c r="D281" s="389" t="s">
        <v>252</v>
      </c>
      <c r="E281" s="383" t="s">
        <v>22</v>
      </c>
      <c r="F281" s="383" t="s">
        <v>23</v>
      </c>
      <c r="G281" s="395">
        <v>46052</v>
      </c>
      <c r="H281" s="404" t="s">
        <v>787</v>
      </c>
      <c r="I281" s="408">
        <v>25058202</v>
      </c>
      <c r="J281" s="383" t="s">
        <v>788</v>
      </c>
      <c r="K281" s="383">
        <v>71983430931</v>
      </c>
      <c r="L281" s="383">
        <v>71983430931</v>
      </c>
      <c r="M281" s="383" t="s">
        <v>70</v>
      </c>
      <c r="O281" s="426"/>
      <c r="Q281" s="430"/>
      <c r="R281" s="431"/>
      <c r="S281" s="432"/>
      <c r="T281" s="432"/>
      <c r="U281" s="432"/>
      <c r="V281" s="432"/>
      <c r="W281" s="432"/>
      <c r="X281" s="432"/>
      <c r="Y281" s="432"/>
      <c r="Z281" s="432"/>
      <c r="AA281" s="432"/>
      <c r="AB281" s="432"/>
      <c r="AC281" s="432"/>
      <c r="AD281" s="432"/>
      <c r="AE281" s="432"/>
      <c r="AF281" s="432"/>
      <c r="AG281" s="432"/>
      <c r="AH281" s="432"/>
      <c r="AI281" s="432"/>
      <c r="AJ281" s="432"/>
      <c r="AK281" s="432"/>
      <c r="AL281" s="432"/>
      <c r="AM281" s="432"/>
      <c r="AN281" s="432"/>
      <c r="AO281" s="432"/>
      <c r="AP281" s="432"/>
      <c r="AQ281" s="432"/>
      <c r="AR281" s="432"/>
      <c r="AS281" s="432"/>
      <c r="AT281" s="432"/>
      <c r="AU281" s="432"/>
      <c r="AV281" s="432"/>
      <c r="AW281" s="432"/>
      <c r="AX281" s="432"/>
      <c r="AY281" s="432"/>
      <c r="AZ281" s="432"/>
      <c r="BA281" s="432"/>
      <c r="BB281" s="432"/>
      <c r="BC281" s="432"/>
      <c r="BD281" s="432"/>
      <c r="BE281" s="432"/>
      <c r="BF281" s="432"/>
      <c r="BG281" s="432"/>
      <c r="BH281" s="432"/>
      <c r="BI281" s="432"/>
      <c r="BJ281" s="432"/>
      <c r="BK281" s="433"/>
    </row>
    <row r="282" spans="1:63" s="425" customFormat="1" ht="21" hidden="1" customHeight="1" x14ac:dyDescent="0.25">
      <c r="A282" s="435" t="s">
        <v>19</v>
      </c>
      <c r="B282" s="435">
        <v>101626</v>
      </c>
      <c r="C282" s="389" t="s">
        <v>20</v>
      </c>
      <c r="D282" s="419" t="s">
        <v>21</v>
      </c>
      <c r="E282" s="435" t="s">
        <v>22</v>
      </c>
      <c r="F282" s="435" t="s">
        <v>23</v>
      </c>
      <c r="G282" s="438">
        <v>46052</v>
      </c>
      <c r="H282" s="403" t="s">
        <v>789</v>
      </c>
      <c r="I282" s="448">
        <v>25054627</v>
      </c>
      <c r="J282" s="435" t="s">
        <v>790</v>
      </c>
      <c r="K282" s="435">
        <v>71987898606</v>
      </c>
      <c r="L282" s="435">
        <v>71987898606</v>
      </c>
      <c r="M282" s="435" t="s">
        <v>70</v>
      </c>
      <c r="O282" s="426"/>
      <c r="Q282" s="430"/>
      <c r="R282" s="431"/>
      <c r="S282" s="432"/>
      <c r="T282" s="432"/>
      <c r="U282" s="432"/>
      <c r="V282" s="432"/>
      <c r="W282" s="432"/>
      <c r="X282" s="432"/>
      <c r="Y282" s="432"/>
      <c r="Z282" s="432"/>
      <c r="AA282" s="432"/>
      <c r="AB282" s="432"/>
      <c r="AC282" s="432"/>
      <c r="AD282" s="432"/>
      <c r="AE282" s="432"/>
      <c r="AF282" s="432"/>
      <c r="AG282" s="432"/>
      <c r="AH282" s="432"/>
      <c r="AI282" s="432"/>
      <c r="AJ282" s="432"/>
      <c r="AK282" s="432"/>
      <c r="AL282" s="432"/>
      <c r="AM282" s="432"/>
      <c r="AN282" s="432"/>
      <c r="AO282" s="432"/>
      <c r="AP282" s="432"/>
      <c r="AQ282" s="432"/>
      <c r="AR282" s="432"/>
      <c r="AS282" s="432"/>
      <c r="AT282" s="432"/>
      <c r="AU282" s="432"/>
      <c r="AV282" s="432"/>
      <c r="AW282" s="432"/>
      <c r="AX282" s="432"/>
      <c r="AY282" s="432"/>
      <c r="AZ282" s="432"/>
      <c r="BA282" s="432"/>
      <c r="BB282" s="432"/>
      <c r="BC282" s="432"/>
      <c r="BD282" s="432"/>
      <c r="BE282" s="432"/>
      <c r="BF282" s="432"/>
      <c r="BG282" s="432"/>
      <c r="BH282" s="432"/>
      <c r="BI282" s="432"/>
      <c r="BJ282" s="432"/>
      <c r="BK282" s="433"/>
    </row>
    <row r="283" spans="1:63" s="425" customFormat="1" ht="21" hidden="1" customHeight="1" x14ac:dyDescent="0.25">
      <c r="A283" s="435" t="s">
        <v>19</v>
      </c>
      <c r="B283" s="435">
        <v>101627</v>
      </c>
      <c r="C283" s="389" t="s">
        <v>20</v>
      </c>
      <c r="D283" s="419" t="s">
        <v>44</v>
      </c>
      <c r="E283" s="435" t="s">
        <v>22</v>
      </c>
      <c r="F283" s="435" t="s">
        <v>23</v>
      </c>
      <c r="G283" s="438">
        <v>46052</v>
      </c>
      <c r="H283" s="403" t="s">
        <v>791</v>
      </c>
      <c r="I283" s="448">
        <v>25036172</v>
      </c>
      <c r="J283" s="435" t="s">
        <v>792</v>
      </c>
      <c r="K283" s="435">
        <v>71986786017</v>
      </c>
      <c r="L283" s="435">
        <v>71986786017</v>
      </c>
      <c r="M283" s="435" t="s">
        <v>70</v>
      </c>
      <c r="O283" s="426"/>
      <c r="Q283" s="430"/>
      <c r="R283" s="431"/>
      <c r="S283" s="432"/>
      <c r="T283" s="432"/>
      <c r="U283" s="432"/>
      <c r="V283" s="432"/>
      <c r="W283" s="432"/>
      <c r="X283" s="432"/>
      <c r="Y283" s="432"/>
      <c r="Z283" s="432"/>
      <c r="AA283" s="432"/>
      <c r="AB283" s="432"/>
      <c r="AC283" s="432"/>
      <c r="AD283" s="432"/>
      <c r="AE283" s="432"/>
      <c r="AF283" s="432"/>
      <c r="AG283" s="432"/>
      <c r="AH283" s="432"/>
      <c r="AI283" s="432"/>
      <c r="AJ283" s="432"/>
      <c r="AK283" s="432"/>
      <c r="AL283" s="432"/>
      <c r="AM283" s="432"/>
      <c r="AN283" s="432"/>
      <c r="AO283" s="432"/>
      <c r="AP283" s="432"/>
      <c r="AQ283" s="432"/>
      <c r="AR283" s="432"/>
      <c r="AS283" s="432"/>
      <c r="AT283" s="432"/>
      <c r="AU283" s="432"/>
      <c r="AV283" s="432"/>
      <c r="AW283" s="432"/>
      <c r="AX283" s="432"/>
      <c r="AY283" s="432"/>
      <c r="AZ283" s="432"/>
      <c r="BA283" s="432"/>
      <c r="BB283" s="432"/>
      <c r="BC283" s="432"/>
      <c r="BD283" s="432"/>
      <c r="BE283" s="432"/>
      <c r="BF283" s="432"/>
      <c r="BG283" s="432"/>
      <c r="BH283" s="432"/>
      <c r="BI283" s="432"/>
      <c r="BJ283" s="432"/>
      <c r="BK283" s="433"/>
    </row>
    <row r="284" spans="1:63" ht="21" hidden="1" customHeight="1" x14ac:dyDescent="0.25">
      <c r="C284" s="547" t="s">
        <v>20</v>
      </c>
      <c r="D284" s="547" t="s">
        <v>21</v>
      </c>
      <c r="E284" s="546" t="s">
        <v>22</v>
      </c>
      <c r="F284" s="546" t="s">
        <v>23</v>
      </c>
      <c r="G284" s="548">
        <v>46052</v>
      </c>
      <c r="H284" s="549" t="s">
        <v>793</v>
      </c>
      <c r="I284" s="550">
        <v>25027073</v>
      </c>
      <c r="J284" s="546" t="s">
        <v>794</v>
      </c>
      <c r="K284" s="546">
        <v>71999635372</v>
      </c>
      <c r="L284" s="546">
        <v>71999635372</v>
      </c>
    </row>
    <row r="285" spans="1:63" ht="21" hidden="1" customHeight="1" x14ac:dyDescent="0.25">
      <c r="A285" s="546" t="s">
        <v>19</v>
      </c>
      <c r="B285" s="546">
        <v>101625</v>
      </c>
      <c r="C285" s="547" t="s">
        <v>20</v>
      </c>
      <c r="D285" s="547" t="s">
        <v>187</v>
      </c>
      <c r="E285" s="546" t="s">
        <v>22</v>
      </c>
      <c r="F285" s="546" t="s">
        <v>23</v>
      </c>
      <c r="G285" s="548">
        <v>46052</v>
      </c>
      <c r="H285" s="549" t="s">
        <v>795</v>
      </c>
      <c r="I285" s="550">
        <v>21836847</v>
      </c>
      <c r="J285" s="556" t="s">
        <v>796</v>
      </c>
      <c r="K285" s="546">
        <v>71981258721</v>
      </c>
      <c r="L285" s="546">
        <v>71981258721</v>
      </c>
    </row>
    <row r="286" spans="1:63" s="425" customFormat="1" ht="21" hidden="1" customHeight="1" x14ac:dyDescent="0.25">
      <c r="A286" s="435" t="s">
        <v>19</v>
      </c>
      <c r="B286" s="435">
        <v>101628</v>
      </c>
      <c r="C286" s="419" t="s">
        <v>20</v>
      </c>
      <c r="D286" s="419" t="s">
        <v>252</v>
      </c>
      <c r="E286" s="435" t="s">
        <v>22</v>
      </c>
      <c r="F286" s="435" t="s">
        <v>23</v>
      </c>
      <c r="G286" s="438">
        <v>46052</v>
      </c>
      <c r="H286" s="403" t="s">
        <v>797</v>
      </c>
      <c r="I286" s="448">
        <v>26062968</v>
      </c>
      <c r="J286" s="435" t="s">
        <v>798</v>
      </c>
      <c r="K286" s="435">
        <v>71985133022</v>
      </c>
      <c r="L286" s="435"/>
      <c r="M286" s="435" t="s">
        <v>70</v>
      </c>
      <c r="O286" s="426"/>
      <c r="Q286" s="430"/>
      <c r="R286" s="431"/>
      <c r="S286" s="432"/>
      <c r="T286" s="432"/>
      <c r="U286" s="432"/>
      <c r="V286" s="432"/>
      <c r="W286" s="432"/>
      <c r="X286" s="432"/>
      <c r="Y286" s="432"/>
      <c r="Z286" s="432"/>
      <c r="AA286" s="432"/>
      <c r="AB286" s="432"/>
      <c r="AC286" s="432"/>
      <c r="AD286" s="432"/>
      <c r="AE286" s="432"/>
      <c r="AF286" s="432"/>
      <c r="AG286" s="432"/>
      <c r="AH286" s="432"/>
      <c r="AI286" s="432"/>
      <c r="AJ286" s="432"/>
      <c r="AK286" s="432"/>
      <c r="AL286" s="432"/>
      <c r="AM286" s="432"/>
      <c r="AN286" s="432"/>
      <c r="AO286" s="432"/>
      <c r="AP286" s="432"/>
      <c r="AQ286" s="432"/>
      <c r="AR286" s="432"/>
      <c r="AS286" s="432"/>
      <c r="AT286" s="432"/>
      <c r="AU286" s="432"/>
      <c r="AV286" s="432"/>
      <c r="AW286" s="432"/>
      <c r="AX286" s="432"/>
      <c r="AY286" s="432"/>
      <c r="AZ286" s="432"/>
      <c r="BA286" s="432"/>
      <c r="BB286" s="432"/>
      <c r="BC286" s="432"/>
      <c r="BD286" s="432"/>
      <c r="BE286" s="432"/>
      <c r="BF286" s="432"/>
      <c r="BG286" s="432"/>
      <c r="BH286" s="432"/>
      <c r="BI286" s="432"/>
      <c r="BJ286" s="432"/>
      <c r="BK286" s="433"/>
    </row>
    <row r="287" spans="1:63" ht="21" hidden="1" customHeight="1" x14ac:dyDescent="0.25">
      <c r="A287" s="546" t="s">
        <v>19</v>
      </c>
      <c r="B287" s="546">
        <v>101628</v>
      </c>
      <c r="C287" s="547" t="s">
        <v>20</v>
      </c>
      <c r="D287" s="547" t="s">
        <v>252</v>
      </c>
      <c r="E287" s="546" t="s">
        <v>22</v>
      </c>
      <c r="F287" s="546" t="s">
        <v>23</v>
      </c>
      <c r="G287" s="548">
        <v>46052</v>
      </c>
      <c r="H287" s="549" t="s">
        <v>799</v>
      </c>
      <c r="I287" s="550">
        <v>26063003</v>
      </c>
      <c r="J287" s="546" t="s">
        <v>800</v>
      </c>
      <c r="K287" s="546">
        <v>71992550086</v>
      </c>
    </row>
    <row r="288" spans="1:63" s="425" customFormat="1" ht="21" hidden="1" customHeight="1" x14ac:dyDescent="0.25">
      <c r="A288" s="435" t="s">
        <v>19</v>
      </c>
      <c r="B288" s="435">
        <v>101627</v>
      </c>
      <c r="C288" s="419" t="s">
        <v>20</v>
      </c>
      <c r="D288" s="419" t="s">
        <v>44</v>
      </c>
      <c r="E288" s="435" t="s">
        <v>22</v>
      </c>
      <c r="F288" s="435" t="s">
        <v>23</v>
      </c>
      <c r="G288" s="438">
        <v>46023</v>
      </c>
      <c r="H288" s="403" t="s">
        <v>801</v>
      </c>
      <c r="I288" s="448">
        <v>25056667</v>
      </c>
      <c r="J288" s="435" t="s">
        <v>802</v>
      </c>
      <c r="K288" s="435">
        <v>71992469584</v>
      </c>
      <c r="L288" s="435">
        <v>71992469584</v>
      </c>
      <c r="M288" s="435" t="s">
        <v>70</v>
      </c>
      <c r="O288" s="426"/>
      <c r="Q288" s="430"/>
      <c r="R288" s="431"/>
      <c r="S288" s="432"/>
      <c r="T288" s="432"/>
      <c r="U288" s="432"/>
      <c r="V288" s="432"/>
      <c r="W288" s="432"/>
      <c r="X288" s="432"/>
      <c r="Y288" s="432"/>
      <c r="Z288" s="432"/>
      <c r="AA288" s="432"/>
      <c r="AB288" s="432"/>
      <c r="AC288" s="432"/>
      <c r="AD288" s="432"/>
      <c r="AE288" s="432"/>
      <c r="AF288" s="432"/>
      <c r="AG288" s="432"/>
      <c r="AH288" s="432"/>
      <c r="AI288" s="432"/>
      <c r="AJ288" s="432"/>
      <c r="AK288" s="432"/>
      <c r="AL288" s="432"/>
      <c r="AM288" s="432"/>
      <c r="AN288" s="432"/>
      <c r="AO288" s="432"/>
      <c r="AP288" s="432"/>
      <c r="AQ288" s="432"/>
      <c r="AR288" s="432"/>
      <c r="AS288" s="432"/>
      <c r="AT288" s="432"/>
      <c r="AU288" s="432"/>
      <c r="AV288" s="432"/>
      <c r="AW288" s="432"/>
      <c r="AX288" s="432"/>
      <c r="AY288" s="432"/>
      <c r="AZ288" s="432"/>
      <c r="BA288" s="432"/>
      <c r="BB288" s="432"/>
      <c r="BC288" s="432"/>
      <c r="BD288" s="432"/>
      <c r="BE288" s="432"/>
      <c r="BF288" s="432"/>
      <c r="BG288" s="432"/>
      <c r="BH288" s="432"/>
      <c r="BI288" s="432"/>
      <c r="BJ288" s="432"/>
      <c r="BK288" s="433"/>
    </row>
    <row r="289" spans="1:63" ht="21" hidden="1" customHeight="1" x14ac:dyDescent="0.25">
      <c r="A289" s="546" t="s">
        <v>19</v>
      </c>
      <c r="B289" s="546">
        <v>101628</v>
      </c>
      <c r="C289" s="547" t="s">
        <v>20</v>
      </c>
      <c r="D289" s="547" t="s">
        <v>252</v>
      </c>
      <c r="E289" s="546" t="s">
        <v>22</v>
      </c>
      <c r="F289" s="546" t="s">
        <v>23</v>
      </c>
      <c r="G289" s="548">
        <v>46050</v>
      </c>
      <c r="H289" s="549" t="s">
        <v>767</v>
      </c>
      <c r="I289" s="550">
        <v>25062385</v>
      </c>
      <c r="J289" s="546" t="s">
        <v>803</v>
      </c>
      <c r="K289" s="546">
        <v>71992969882</v>
      </c>
      <c r="L289" s="546">
        <v>71992969882</v>
      </c>
    </row>
    <row r="290" spans="1:63" ht="21" hidden="1" customHeight="1" x14ac:dyDescent="0.25">
      <c r="A290" s="546" t="s">
        <v>19</v>
      </c>
      <c r="B290" s="546">
        <v>101628</v>
      </c>
      <c r="C290" s="547" t="s">
        <v>20</v>
      </c>
      <c r="D290" s="547" t="s">
        <v>252</v>
      </c>
      <c r="E290" s="546" t="s">
        <v>22</v>
      </c>
      <c r="F290" s="546" t="s">
        <v>23</v>
      </c>
      <c r="G290" s="548">
        <v>46051</v>
      </c>
      <c r="H290" s="549" t="s">
        <v>804</v>
      </c>
      <c r="I290" s="550">
        <v>26062732</v>
      </c>
      <c r="J290" s="546" t="s">
        <v>805</v>
      </c>
      <c r="K290" s="546">
        <v>71986063706</v>
      </c>
      <c r="L290" s="546">
        <v>71988273698</v>
      </c>
    </row>
    <row r="291" spans="1:63" s="558" customFormat="1" ht="21" hidden="1" customHeight="1" x14ac:dyDescent="0.25">
      <c r="A291" s="558" t="s">
        <v>19</v>
      </c>
      <c r="B291" s="558">
        <v>101625</v>
      </c>
      <c r="C291" s="559" t="s">
        <v>20</v>
      </c>
      <c r="D291" s="559" t="s">
        <v>187</v>
      </c>
      <c r="E291" s="558" t="s">
        <v>22</v>
      </c>
      <c r="F291" s="558" t="s">
        <v>23</v>
      </c>
      <c r="G291" s="560">
        <v>46051</v>
      </c>
      <c r="H291" s="561" t="s">
        <v>806</v>
      </c>
      <c r="I291" s="562">
        <v>13334572</v>
      </c>
      <c r="J291" s="558" t="s">
        <v>807</v>
      </c>
      <c r="K291" s="558">
        <v>71999369424</v>
      </c>
      <c r="L291" s="558">
        <v>71999369424</v>
      </c>
      <c r="M291" s="558" t="s">
        <v>498</v>
      </c>
      <c r="O291" s="559"/>
      <c r="Q291" s="563"/>
      <c r="R291" s="564"/>
      <c r="S291" s="565"/>
      <c r="T291" s="565"/>
      <c r="U291" s="565"/>
      <c r="V291" s="565"/>
      <c r="W291" s="565"/>
      <c r="X291" s="565"/>
      <c r="Y291" s="565"/>
      <c r="Z291" s="565"/>
      <c r="AA291" s="565"/>
      <c r="AB291" s="565"/>
      <c r="AC291" s="565"/>
      <c r="AD291" s="565"/>
      <c r="AE291" s="565"/>
      <c r="AF291" s="565"/>
      <c r="AG291" s="565"/>
      <c r="AH291" s="565"/>
      <c r="AI291" s="565"/>
      <c r="AJ291" s="565"/>
      <c r="AK291" s="565"/>
      <c r="AL291" s="565"/>
      <c r="AM291" s="565"/>
      <c r="AN291" s="565"/>
      <c r="AO291" s="565"/>
      <c r="AP291" s="565"/>
      <c r="AQ291" s="565"/>
      <c r="AR291" s="565"/>
      <c r="AS291" s="565"/>
      <c r="AT291" s="565"/>
      <c r="AU291" s="565"/>
      <c r="AV291" s="565"/>
      <c r="AW291" s="565"/>
      <c r="AX291" s="565"/>
      <c r="AY291" s="565"/>
      <c r="AZ291" s="565"/>
      <c r="BA291" s="565"/>
      <c r="BB291" s="565"/>
      <c r="BC291" s="565"/>
      <c r="BD291" s="565"/>
      <c r="BE291" s="565"/>
      <c r="BF291" s="565"/>
      <c r="BG291" s="565"/>
      <c r="BH291" s="565"/>
      <c r="BI291" s="565"/>
      <c r="BJ291" s="565"/>
      <c r="BK291" s="566"/>
    </row>
    <row r="292" spans="1:63" s="425" customFormat="1" ht="21" hidden="1" customHeight="1" x14ac:dyDescent="0.25">
      <c r="A292" s="425" t="s">
        <v>19</v>
      </c>
      <c r="B292" s="425">
        <v>101626</v>
      </c>
      <c r="C292" s="426" t="s">
        <v>175</v>
      </c>
      <c r="D292" s="426" t="s">
        <v>21</v>
      </c>
      <c r="E292" s="425" t="s">
        <v>22</v>
      </c>
      <c r="F292" s="425" t="s">
        <v>23</v>
      </c>
      <c r="G292" s="427">
        <v>46052</v>
      </c>
      <c r="H292" s="428" t="s">
        <v>808</v>
      </c>
      <c r="I292" s="429">
        <v>21897294</v>
      </c>
      <c r="J292" s="425" t="s">
        <v>809</v>
      </c>
      <c r="K292" s="425">
        <v>71984497800</v>
      </c>
      <c r="L292" s="425">
        <v>71984497800</v>
      </c>
      <c r="O292" s="426"/>
      <c r="Q292" s="430"/>
      <c r="R292" s="431"/>
      <c r="S292" s="432"/>
      <c r="T292" s="432"/>
      <c r="U292" s="432"/>
      <c r="V292" s="432"/>
      <c r="W292" s="432"/>
      <c r="X292" s="432"/>
      <c r="Y292" s="432"/>
      <c r="Z292" s="432"/>
      <c r="AA292" s="432"/>
      <c r="AB292" s="432"/>
      <c r="AC292" s="432"/>
      <c r="AD292" s="432"/>
      <c r="AE292" s="432"/>
      <c r="AF292" s="432"/>
      <c r="AG292" s="432"/>
      <c r="AH292" s="432"/>
      <c r="AI292" s="432"/>
      <c r="AJ292" s="432"/>
      <c r="AK292" s="432"/>
      <c r="AL292" s="432"/>
      <c r="AM292" s="432"/>
      <c r="AN292" s="432"/>
      <c r="AO292" s="432"/>
      <c r="AP292" s="432"/>
      <c r="AQ292" s="432"/>
      <c r="AR292" s="432"/>
      <c r="AS292" s="432"/>
      <c r="AT292" s="432"/>
      <c r="AU292" s="432"/>
      <c r="AV292" s="432"/>
      <c r="AW292" s="432"/>
      <c r="AX292" s="432"/>
      <c r="AY292" s="432"/>
      <c r="AZ292" s="432"/>
      <c r="BA292" s="432"/>
      <c r="BB292" s="432"/>
      <c r="BC292" s="432"/>
      <c r="BD292" s="432"/>
      <c r="BE292" s="432"/>
      <c r="BF292" s="432"/>
      <c r="BG292" s="432"/>
      <c r="BH292" s="432"/>
      <c r="BI292" s="432"/>
      <c r="BJ292" s="432"/>
      <c r="BK292" s="433"/>
    </row>
    <row r="293" spans="1:63" s="383" customFormat="1" ht="21" hidden="1" customHeight="1" x14ac:dyDescent="0.25">
      <c r="C293" s="389" t="s">
        <v>20</v>
      </c>
      <c r="D293" s="389" t="s">
        <v>187</v>
      </c>
      <c r="E293" s="383" t="s">
        <v>22</v>
      </c>
      <c r="F293" s="383" t="s">
        <v>23</v>
      </c>
      <c r="G293" s="395">
        <v>46055</v>
      </c>
      <c r="H293" s="404" t="s">
        <v>810</v>
      </c>
      <c r="I293" s="408">
        <v>25008855</v>
      </c>
      <c r="J293" s="499" t="s">
        <v>811</v>
      </c>
      <c r="K293" s="383">
        <v>71981240896</v>
      </c>
      <c r="L293" s="383">
        <v>71981240896</v>
      </c>
      <c r="M293" s="383" t="s">
        <v>498</v>
      </c>
      <c r="O293" s="389"/>
      <c r="Q293" s="467"/>
      <c r="R293" s="452"/>
      <c r="S293" s="453"/>
      <c r="T293" s="453"/>
      <c r="U293" s="453"/>
      <c r="V293" s="453"/>
      <c r="W293" s="453"/>
      <c r="X293" s="453"/>
      <c r="Y293" s="453"/>
      <c r="Z293" s="453"/>
      <c r="AA293" s="453"/>
      <c r="AB293" s="453"/>
      <c r="AC293" s="453"/>
      <c r="AD293" s="453"/>
      <c r="AE293" s="453"/>
      <c r="AF293" s="453"/>
      <c r="AG293" s="453"/>
      <c r="AH293" s="453"/>
      <c r="AI293" s="453"/>
      <c r="AJ293" s="453"/>
      <c r="AK293" s="453"/>
      <c r="AL293" s="453"/>
      <c r="AM293" s="453"/>
      <c r="AN293" s="453"/>
      <c r="AO293" s="453"/>
      <c r="AP293" s="453"/>
      <c r="AQ293" s="453"/>
      <c r="AR293" s="453"/>
      <c r="AS293" s="453"/>
      <c r="AT293" s="453"/>
      <c r="AU293" s="453"/>
      <c r="AV293" s="453"/>
      <c r="AW293" s="453"/>
      <c r="AX293" s="453"/>
      <c r="AY293" s="453"/>
      <c r="AZ293" s="453"/>
      <c r="BA293" s="453"/>
      <c r="BB293" s="453"/>
      <c r="BC293" s="453"/>
      <c r="BD293" s="453"/>
      <c r="BE293" s="453"/>
      <c r="BF293" s="453"/>
      <c r="BG293" s="453"/>
      <c r="BH293" s="453"/>
      <c r="BI293" s="453"/>
      <c r="BJ293" s="453"/>
      <c r="BK293" s="454"/>
    </row>
    <row r="294" spans="1:63" s="571" customFormat="1" ht="21" hidden="1" customHeight="1" x14ac:dyDescent="0.25">
      <c r="A294" s="571" t="s">
        <v>19</v>
      </c>
      <c r="B294" s="571">
        <v>101628</v>
      </c>
      <c r="C294" s="572" t="s">
        <v>20</v>
      </c>
      <c r="D294" s="572" t="s">
        <v>252</v>
      </c>
      <c r="E294" s="571" t="s">
        <v>22</v>
      </c>
      <c r="F294" s="571" t="s">
        <v>23</v>
      </c>
      <c r="G294" s="573">
        <v>46051</v>
      </c>
      <c r="H294" s="574" t="s">
        <v>812</v>
      </c>
      <c r="I294" s="575">
        <v>26062703</v>
      </c>
      <c r="J294" s="576" t="s">
        <v>813</v>
      </c>
      <c r="K294" s="571">
        <v>71993667822</v>
      </c>
      <c r="L294" s="571">
        <v>71993667822</v>
      </c>
      <c r="M294" s="571" t="s">
        <v>498</v>
      </c>
      <c r="O294" s="572" t="s">
        <v>814</v>
      </c>
      <c r="Q294" s="577"/>
      <c r="R294" s="578" t="s">
        <v>815</v>
      </c>
      <c r="S294" s="579"/>
      <c r="T294" s="579"/>
      <c r="U294" s="579"/>
      <c r="V294" s="579"/>
      <c r="W294" s="579"/>
      <c r="X294" s="579"/>
      <c r="Y294" s="579"/>
      <c r="Z294" s="579"/>
      <c r="AA294" s="579"/>
      <c r="AB294" s="579"/>
      <c r="AC294" s="579"/>
      <c r="AD294" s="579"/>
      <c r="AE294" s="579"/>
      <c r="AF294" s="579"/>
      <c r="AG294" s="579"/>
      <c r="AH294" s="579"/>
      <c r="AI294" s="579"/>
      <c r="AJ294" s="579"/>
      <c r="AK294" s="579"/>
      <c r="AL294" s="579"/>
      <c r="AM294" s="579"/>
      <c r="AN294" s="579"/>
      <c r="AO294" s="579"/>
      <c r="AP294" s="579"/>
      <c r="AQ294" s="579"/>
      <c r="AR294" s="579"/>
      <c r="AS294" s="579"/>
      <c r="AT294" s="579"/>
      <c r="AU294" s="579"/>
      <c r="AV294" s="579"/>
      <c r="AW294" s="579"/>
      <c r="AX294" s="579"/>
      <c r="AY294" s="579"/>
      <c r="AZ294" s="579"/>
      <c r="BA294" s="579"/>
      <c r="BB294" s="579"/>
      <c r="BC294" s="579"/>
      <c r="BD294" s="579"/>
      <c r="BE294" s="579"/>
      <c r="BF294" s="579"/>
      <c r="BG294" s="579"/>
      <c r="BH294" s="579"/>
      <c r="BI294" s="579"/>
      <c r="BJ294" s="579"/>
      <c r="BK294" s="580"/>
    </row>
    <row r="295" spans="1:63" ht="21" hidden="1" customHeight="1" x14ac:dyDescent="0.25">
      <c r="A295" s="546" t="s">
        <v>19</v>
      </c>
      <c r="B295" s="546">
        <v>101622</v>
      </c>
      <c r="C295" s="547" t="s">
        <v>2</v>
      </c>
      <c r="D295" s="547" t="s">
        <v>31</v>
      </c>
      <c r="E295" s="546" t="s">
        <v>32</v>
      </c>
      <c r="F295" s="546" t="s">
        <v>23</v>
      </c>
      <c r="G295" s="548">
        <v>46048</v>
      </c>
      <c r="H295" s="549" t="s">
        <v>816</v>
      </c>
      <c r="I295" s="550">
        <v>25057181</v>
      </c>
      <c r="J295" s="567" t="s">
        <v>817</v>
      </c>
      <c r="K295" s="546">
        <v>71992019366</v>
      </c>
      <c r="L295" s="546">
        <v>71992019366</v>
      </c>
    </row>
    <row r="296" spans="1:63" ht="21" hidden="1" customHeight="1" x14ac:dyDescent="0.25">
      <c r="A296" s="546" t="s">
        <v>19</v>
      </c>
      <c r="B296" s="546">
        <v>101628</v>
      </c>
      <c r="C296" s="547" t="s">
        <v>20</v>
      </c>
      <c r="D296" s="547" t="s">
        <v>252</v>
      </c>
      <c r="E296" s="546" t="s">
        <v>22</v>
      </c>
      <c r="F296" s="546" t="s">
        <v>23</v>
      </c>
      <c r="G296" s="548">
        <v>46055</v>
      </c>
      <c r="H296" s="549" t="s">
        <v>818</v>
      </c>
      <c r="I296" s="550">
        <v>26063305</v>
      </c>
      <c r="J296" s="546" t="s">
        <v>819</v>
      </c>
      <c r="K296" s="546">
        <v>71988264373</v>
      </c>
      <c r="L296" s="546">
        <v>71988264373</v>
      </c>
    </row>
    <row r="297" spans="1:63" ht="21" customHeight="1" x14ac:dyDescent="0.25">
      <c r="H297" s="549"/>
    </row>
    <row r="298" spans="1:63" ht="21" customHeight="1" x14ac:dyDescent="0.25">
      <c r="H298" s="549"/>
    </row>
    <row r="299" spans="1:63" ht="21" customHeight="1" x14ac:dyDescent="0.25">
      <c r="H299" s="549"/>
    </row>
    <row r="300" spans="1:63" ht="21" customHeight="1" x14ac:dyDescent="0.25">
      <c r="H300" s="549"/>
    </row>
    <row r="301" spans="1:63" ht="21" customHeight="1" x14ac:dyDescent="0.25">
      <c r="H301" s="549"/>
    </row>
    <row r="302" spans="1:63" ht="21" customHeight="1" x14ac:dyDescent="0.25">
      <c r="H302" s="549"/>
    </row>
    <row r="303" spans="1:63" ht="21" customHeight="1" x14ac:dyDescent="0.25">
      <c r="H303" s="549"/>
    </row>
    <row r="304" spans="1:63" ht="21" customHeight="1" x14ac:dyDescent="0.25">
      <c r="H304" s="549"/>
    </row>
    <row r="305" spans="8:8" ht="21" customHeight="1" x14ac:dyDescent="0.25">
      <c r="H305" s="549"/>
    </row>
    <row r="306" spans="8:8" ht="21" customHeight="1" x14ac:dyDescent="0.25">
      <c r="H306" s="549"/>
    </row>
    <row r="307" spans="8:8" ht="21" customHeight="1" x14ac:dyDescent="0.25">
      <c r="H307" s="549"/>
    </row>
    <row r="308" spans="8:8" ht="21" customHeight="1" x14ac:dyDescent="0.25">
      <c r="H308" s="549"/>
    </row>
    <row r="309" spans="8:8" ht="21" customHeight="1" x14ac:dyDescent="0.25">
      <c r="H309" s="549"/>
    </row>
    <row r="310" spans="8:8" ht="21" customHeight="1" x14ac:dyDescent="0.25">
      <c r="H310" s="549"/>
    </row>
    <row r="311" spans="8:8" ht="21" customHeight="1" x14ac:dyDescent="0.25">
      <c r="H311" s="549"/>
    </row>
    <row r="312" spans="8:8" ht="21" customHeight="1" x14ac:dyDescent="0.25">
      <c r="H312" s="549"/>
    </row>
    <row r="313" spans="8:8" ht="21" customHeight="1" x14ac:dyDescent="0.25">
      <c r="H313" s="549"/>
    </row>
    <row r="314" spans="8:8" ht="21" customHeight="1" x14ac:dyDescent="0.25">
      <c r="H314" s="549"/>
    </row>
    <row r="315" spans="8:8" ht="21" customHeight="1" x14ac:dyDescent="0.25">
      <c r="H315" s="549"/>
    </row>
    <row r="316" spans="8:8" ht="21" customHeight="1" x14ac:dyDescent="0.25">
      <c r="H316" s="549"/>
    </row>
    <row r="317" spans="8:8" ht="21" customHeight="1" x14ac:dyDescent="0.25">
      <c r="H317" s="549"/>
    </row>
    <row r="318" spans="8:8" ht="21" customHeight="1" x14ac:dyDescent="0.25">
      <c r="H318" s="549"/>
    </row>
    <row r="319" spans="8:8" ht="21" customHeight="1" x14ac:dyDescent="0.25">
      <c r="H319" s="549"/>
    </row>
    <row r="320" spans="8:8" ht="21" customHeight="1" x14ac:dyDescent="0.25">
      <c r="H320" s="549"/>
    </row>
    <row r="321" spans="8:8" ht="21" customHeight="1" x14ac:dyDescent="0.25">
      <c r="H321" s="549"/>
    </row>
    <row r="322" spans="8:8" ht="21" customHeight="1" x14ac:dyDescent="0.25">
      <c r="H322" s="549"/>
    </row>
    <row r="323" spans="8:8" ht="21" customHeight="1" x14ac:dyDescent="0.25">
      <c r="H323" s="549"/>
    </row>
    <row r="324" spans="8:8" ht="21" customHeight="1" x14ac:dyDescent="0.25">
      <c r="H324" s="549"/>
    </row>
    <row r="325" spans="8:8" ht="21" customHeight="1" x14ac:dyDescent="0.25">
      <c r="H325" s="549"/>
    </row>
    <row r="326" spans="8:8" ht="21" customHeight="1" x14ac:dyDescent="0.25">
      <c r="H326" s="549"/>
    </row>
    <row r="327" spans="8:8" ht="21" customHeight="1" x14ac:dyDescent="0.25">
      <c r="H327" s="549"/>
    </row>
    <row r="328" spans="8:8" ht="21" customHeight="1" x14ac:dyDescent="0.25">
      <c r="H328" s="549"/>
    </row>
    <row r="329" spans="8:8" ht="21" customHeight="1" x14ac:dyDescent="0.25">
      <c r="H329" s="549"/>
    </row>
    <row r="330" spans="8:8" ht="21" customHeight="1" x14ac:dyDescent="0.25">
      <c r="H330" s="549"/>
    </row>
    <row r="331" spans="8:8" ht="21" customHeight="1" x14ac:dyDescent="0.25">
      <c r="H331" s="549"/>
    </row>
    <row r="332" spans="8:8" ht="21" customHeight="1" x14ac:dyDescent="0.25">
      <c r="H332" s="549"/>
    </row>
    <row r="333" spans="8:8" ht="21" customHeight="1" x14ac:dyDescent="0.25">
      <c r="H333" s="549"/>
    </row>
    <row r="334" spans="8:8" ht="21" customHeight="1" x14ac:dyDescent="0.25">
      <c r="H334" s="549"/>
    </row>
    <row r="335" spans="8:8" ht="21" customHeight="1" x14ac:dyDescent="0.25">
      <c r="H335" s="549"/>
    </row>
    <row r="336" spans="8:8" ht="21" customHeight="1" x14ac:dyDescent="0.25">
      <c r="H336" s="549"/>
    </row>
    <row r="337" spans="8:8" ht="21" customHeight="1" x14ac:dyDescent="0.25">
      <c r="H337" s="549"/>
    </row>
    <row r="338" spans="8:8" ht="21" customHeight="1" x14ac:dyDescent="0.25">
      <c r="H338" s="549"/>
    </row>
    <row r="339" spans="8:8" ht="21" customHeight="1" x14ac:dyDescent="0.25">
      <c r="H339" s="549"/>
    </row>
    <row r="340" spans="8:8" ht="21" customHeight="1" x14ac:dyDescent="0.25">
      <c r="H340" s="549"/>
    </row>
    <row r="341" spans="8:8" ht="21" customHeight="1" x14ac:dyDescent="0.25">
      <c r="H341" s="549"/>
    </row>
    <row r="342" spans="8:8" ht="21" customHeight="1" x14ac:dyDescent="0.25">
      <c r="H342" s="549"/>
    </row>
    <row r="343" spans="8:8" ht="21" customHeight="1" x14ac:dyDescent="0.25">
      <c r="H343" s="549"/>
    </row>
    <row r="344" spans="8:8" ht="21" customHeight="1" x14ac:dyDescent="0.25">
      <c r="H344" s="549"/>
    </row>
    <row r="345" spans="8:8" ht="21" customHeight="1" x14ac:dyDescent="0.25">
      <c r="H345" s="549"/>
    </row>
    <row r="346" spans="8:8" ht="21" customHeight="1" x14ac:dyDescent="0.25">
      <c r="H346" s="549"/>
    </row>
    <row r="347" spans="8:8" ht="21" customHeight="1" x14ac:dyDescent="0.25">
      <c r="H347" s="549"/>
    </row>
    <row r="348" spans="8:8" ht="21" customHeight="1" x14ac:dyDescent="0.25">
      <c r="H348" s="549"/>
    </row>
    <row r="349" spans="8:8" ht="21" customHeight="1" x14ac:dyDescent="0.25">
      <c r="H349" s="549"/>
    </row>
    <row r="350" spans="8:8" ht="21" customHeight="1" x14ac:dyDescent="0.25">
      <c r="H350" s="549"/>
    </row>
    <row r="351" spans="8:8" ht="21" customHeight="1" x14ac:dyDescent="0.25">
      <c r="H351" s="549"/>
    </row>
    <row r="352" spans="8:8" ht="21" customHeight="1" x14ac:dyDescent="0.25">
      <c r="H352" s="549"/>
    </row>
    <row r="353" spans="8:8" ht="21" customHeight="1" x14ac:dyDescent="0.25">
      <c r="H353" s="549"/>
    </row>
    <row r="354" spans="8:8" ht="21" customHeight="1" x14ac:dyDescent="0.25">
      <c r="H354" s="549"/>
    </row>
    <row r="355" spans="8:8" ht="21" customHeight="1" x14ac:dyDescent="0.25">
      <c r="H355" s="549"/>
    </row>
    <row r="356" spans="8:8" ht="21" customHeight="1" x14ac:dyDescent="0.25">
      <c r="H356" s="549"/>
    </row>
    <row r="357" spans="8:8" ht="21" customHeight="1" x14ac:dyDescent="0.25">
      <c r="H357" s="549"/>
    </row>
    <row r="358" spans="8:8" ht="21" customHeight="1" x14ac:dyDescent="0.25">
      <c r="H358" s="549"/>
    </row>
    <row r="359" spans="8:8" ht="21" customHeight="1" x14ac:dyDescent="0.25">
      <c r="H359" s="549"/>
    </row>
    <row r="360" spans="8:8" ht="21" customHeight="1" x14ac:dyDescent="0.25">
      <c r="H360" s="549"/>
    </row>
    <row r="361" spans="8:8" ht="21" customHeight="1" x14ac:dyDescent="0.25">
      <c r="H361" s="549"/>
    </row>
    <row r="362" spans="8:8" ht="21" customHeight="1" x14ac:dyDescent="0.25">
      <c r="H362" s="549"/>
    </row>
    <row r="363" spans="8:8" ht="21" customHeight="1" x14ac:dyDescent="0.25">
      <c r="H363" s="549"/>
    </row>
    <row r="364" spans="8:8" ht="21" customHeight="1" x14ac:dyDescent="0.25">
      <c r="H364" s="549"/>
    </row>
    <row r="365" spans="8:8" ht="21" customHeight="1" x14ac:dyDescent="0.25">
      <c r="H365" s="549"/>
    </row>
    <row r="366" spans="8:8" ht="21" customHeight="1" x14ac:dyDescent="0.25">
      <c r="H366" s="549"/>
    </row>
    <row r="367" spans="8:8" ht="21" customHeight="1" x14ac:dyDescent="0.25">
      <c r="H367" s="549"/>
    </row>
    <row r="368" spans="8:8" ht="21" customHeight="1" x14ac:dyDescent="0.25">
      <c r="H368" s="549"/>
    </row>
    <row r="369" spans="8:8" ht="21" customHeight="1" x14ac:dyDescent="0.25">
      <c r="H369" s="549"/>
    </row>
    <row r="370" spans="8:8" ht="21" customHeight="1" x14ac:dyDescent="0.25">
      <c r="H370" s="549"/>
    </row>
    <row r="371" spans="8:8" ht="21" customHeight="1" x14ac:dyDescent="0.25">
      <c r="H371" s="549"/>
    </row>
    <row r="372" spans="8:8" ht="21" customHeight="1" x14ac:dyDescent="0.25">
      <c r="H372" s="549"/>
    </row>
    <row r="373" spans="8:8" ht="21" customHeight="1" x14ac:dyDescent="0.25">
      <c r="H373" s="549"/>
    </row>
    <row r="374" spans="8:8" ht="21" customHeight="1" x14ac:dyDescent="0.25">
      <c r="H374" s="549"/>
    </row>
    <row r="375" spans="8:8" ht="21" customHeight="1" x14ac:dyDescent="0.25">
      <c r="H375" s="549"/>
    </row>
    <row r="376" spans="8:8" ht="21" customHeight="1" x14ac:dyDescent="0.25">
      <c r="H376" s="549"/>
    </row>
    <row r="377" spans="8:8" ht="21" customHeight="1" x14ac:dyDescent="0.25">
      <c r="H377" s="549"/>
    </row>
    <row r="378" spans="8:8" ht="21" customHeight="1" x14ac:dyDescent="0.25">
      <c r="H378" s="549"/>
    </row>
    <row r="379" spans="8:8" ht="21" customHeight="1" x14ac:dyDescent="0.25">
      <c r="H379" s="549"/>
    </row>
    <row r="380" spans="8:8" ht="21" customHeight="1" x14ac:dyDescent="0.25">
      <c r="H380" s="549"/>
    </row>
    <row r="381" spans="8:8" ht="21" customHeight="1" x14ac:dyDescent="0.25">
      <c r="H381" s="549"/>
    </row>
    <row r="382" spans="8:8" ht="21" customHeight="1" x14ac:dyDescent="0.25">
      <c r="H382" s="549"/>
    </row>
    <row r="383" spans="8:8" ht="21" customHeight="1" x14ac:dyDescent="0.25">
      <c r="H383" s="549"/>
    </row>
    <row r="384" spans="8:8" ht="21" customHeight="1" x14ac:dyDescent="0.25">
      <c r="H384" s="549"/>
    </row>
    <row r="385" spans="8:8" ht="21" customHeight="1" x14ac:dyDescent="0.25">
      <c r="H385" s="549"/>
    </row>
    <row r="386" spans="8:8" ht="21" customHeight="1" x14ac:dyDescent="0.25">
      <c r="H386" s="549"/>
    </row>
    <row r="387" spans="8:8" ht="21" customHeight="1" x14ac:dyDescent="0.25">
      <c r="H387" s="549"/>
    </row>
    <row r="388" spans="8:8" ht="21" customHeight="1" x14ac:dyDescent="0.25">
      <c r="H388" s="549"/>
    </row>
    <row r="389" spans="8:8" ht="21" customHeight="1" x14ac:dyDescent="0.25">
      <c r="H389" s="549"/>
    </row>
    <row r="390" spans="8:8" ht="21" customHeight="1" x14ac:dyDescent="0.25">
      <c r="H390" s="549"/>
    </row>
    <row r="391" spans="8:8" ht="21" customHeight="1" x14ac:dyDescent="0.25">
      <c r="H391" s="549"/>
    </row>
    <row r="392" spans="8:8" ht="21" customHeight="1" x14ac:dyDescent="0.25">
      <c r="H392" s="549"/>
    </row>
    <row r="393" spans="8:8" ht="21" customHeight="1" x14ac:dyDescent="0.25">
      <c r="H393" s="549"/>
    </row>
    <row r="394" spans="8:8" ht="21" customHeight="1" x14ac:dyDescent="0.25">
      <c r="H394" s="549"/>
    </row>
    <row r="395" spans="8:8" ht="21" customHeight="1" x14ac:dyDescent="0.25">
      <c r="H395" s="549"/>
    </row>
    <row r="396" spans="8:8" ht="21" customHeight="1" x14ac:dyDescent="0.25">
      <c r="H396" s="549"/>
    </row>
    <row r="397" spans="8:8" ht="21" customHeight="1" x14ac:dyDescent="0.25">
      <c r="H397" s="549"/>
    </row>
    <row r="398" spans="8:8" ht="21" customHeight="1" x14ac:dyDescent="0.25">
      <c r="H398" s="549"/>
    </row>
    <row r="399" spans="8:8" ht="21" customHeight="1" x14ac:dyDescent="0.25">
      <c r="H399" s="549"/>
    </row>
    <row r="400" spans="8:8" ht="21" customHeight="1" x14ac:dyDescent="0.25">
      <c r="H400" s="549"/>
    </row>
    <row r="401" spans="8:8" ht="21" customHeight="1" x14ac:dyDescent="0.25">
      <c r="H401" s="549"/>
    </row>
    <row r="402" spans="8:8" ht="21" customHeight="1" x14ac:dyDescent="0.25">
      <c r="H402" s="549"/>
    </row>
    <row r="403" spans="8:8" ht="21" customHeight="1" x14ac:dyDescent="0.25">
      <c r="H403" s="549"/>
    </row>
    <row r="404" spans="8:8" ht="21" customHeight="1" x14ac:dyDescent="0.25">
      <c r="H404" s="549"/>
    </row>
    <row r="405" spans="8:8" ht="21" customHeight="1" x14ac:dyDescent="0.25">
      <c r="H405" s="549"/>
    </row>
    <row r="406" spans="8:8" ht="21" customHeight="1" x14ac:dyDescent="0.25">
      <c r="H406" s="549"/>
    </row>
    <row r="407" spans="8:8" ht="21" customHeight="1" x14ac:dyDescent="0.25">
      <c r="H407" s="549"/>
    </row>
    <row r="408" spans="8:8" ht="21" customHeight="1" x14ac:dyDescent="0.25">
      <c r="H408" s="549"/>
    </row>
    <row r="409" spans="8:8" ht="21" customHeight="1" x14ac:dyDescent="0.25">
      <c r="H409" s="549"/>
    </row>
    <row r="410" spans="8:8" ht="21" customHeight="1" x14ac:dyDescent="0.25">
      <c r="H410" s="549"/>
    </row>
    <row r="411" spans="8:8" ht="21" customHeight="1" x14ac:dyDescent="0.25">
      <c r="H411" s="549"/>
    </row>
    <row r="412" spans="8:8" ht="21" customHeight="1" x14ac:dyDescent="0.25">
      <c r="H412" s="549"/>
    </row>
    <row r="413" spans="8:8" ht="21" customHeight="1" x14ac:dyDescent="0.25">
      <c r="H413" s="549"/>
    </row>
    <row r="414" spans="8:8" ht="21" customHeight="1" x14ac:dyDescent="0.25">
      <c r="H414" s="549"/>
    </row>
    <row r="415" spans="8:8" ht="21" customHeight="1" x14ac:dyDescent="0.25">
      <c r="H415" s="549"/>
    </row>
    <row r="416" spans="8:8" ht="21" customHeight="1" x14ac:dyDescent="0.25">
      <c r="H416" s="549"/>
    </row>
    <row r="417" spans="8:8" ht="21" customHeight="1" x14ac:dyDescent="0.25">
      <c r="H417" s="549"/>
    </row>
    <row r="418" spans="8:8" ht="21" customHeight="1" x14ac:dyDescent="0.25">
      <c r="H418" s="549"/>
    </row>
    <row r="419" spans="8:8" ht="21" customHeight="1" x14ac:dyDescent="0.25">
      <c r="H419" s="549"/>
    </row>
    <row r="420" spans="8:8" ht="21" customHeight="1" x14ac:dyDescent="0.25">
      <c r="H420" s="549"/>
    </row>
    <row r="421" spans="8:8" ht="21" customHeight="1" x14ac:dyDescent="0.25">
      <c r="H421" s="549"/>
    </row>
    <row r="422" spans="8:8" ht="21" customHeight="1" x14ac:dyDescent="0.25">
      <c r="H422" s="549"/>
    </row>
    <row r="423" spans="8:8" ht="21" customHeight="1" x14ac:dyDescent="0.25">
      <c r="H423" s="549"/>
    </row>
    <row r="424" spans="8:8" ht="21" customHeight="1" x14ac:dyDescent="0.25">
      <c r="H424" s="549"/>
    </row>
    <row r="425" spans="8:8" ht="21" customHeight="1" x14ac:dyDescent="0.25">
      <c r="H425" s="549"/>
    </row>
    <row r="426" spans="8:8" ht="21" customHeight="1" x14ac:dyDescent="0.25">
      <c r="H426" s="549"/>
    </row>
    <row r="427" spans="8:8" ht="21" customHeight="1" x14ac:dyDescent="0.25">
      <c r="H427" s="549"/>
    </row>
    <row r="428" spans="8:8" ht="21" customHeight="1" x14ac:dyDescent="0.25">
      <c r="H428" s="549"/>
    </row>
    <row r="429" spans="8:8" ht="21" customHeight="1" x14ac:dyDescent="0.25">
      <c r="H429" s="549"/>
    </row>
    <row r="430" spans="8:8" ht="21" customHeight="1" x14ac:dyDescent="0.25">
      <c r="H430" s="549"/>
    </row>
    <row r="431" spans="8:8" ht="21" customHeight="1" x14ac:dyDescent="0.25">
      <c r="H431" s="549"/>
    </row>
    <row r="432" spans="8:8" ht="21" customHeight="1" x14ac:dyDescent="0.25">
      <c r="H432" s="549"/>
    </row>
    <row r="433" spans="8:8" ht="21" customHeight="1" x14ac:dyDescent="0.25">
      <c r="H433" s="549"/>
    </row>
    <row r="434" spans="8:8" ht="21" customHeight="1" x14ac:dyDescent="0.25">
      <c r="H434" s="549"/>
    </row>
    <row r="435" spans="8:8" ht="21" customHeight="1" x14ac:dyDescent="0.25">
      <c r="H435" s="549"/>
    </row>
    <row r="436" spans="8:8" ht="21" customHeight="1" x14ac:dyDescent="0.25">
      <c r="H436" s="549"/>
    </row>
    <row r="437" spans="8:8" ht="21" customHeight="1" x14ac:dyDescent="0.25">
      <c r="H437" s="549"/>
    </row>
    <row r="438" spans="8:8" ht="21" customHeight="1" x14ac:dyDescent="0.25">
      <c r="H438" s="549"/>
    </row>
    <row r="439" spans="8:8" ht="21" customHeight="1" x14ac:dyDescent="0.25">
      <c r="H439" s="549"/>
    </row>
    <row r="440" spans="8:8" ht="21" customHeight="1" x14ac:dyDescent="0.25">
      <c r="H440" s="549"/>
    </row>
    <row r="441" spans="8:8" ht="21" customHeight="1" x14ac:dyDescent="0.25">
      <c r="H441" s="549"/>
    </row>
    <row r="442" spans="8:8" ht="21" customHeight="1" x14ac:dyDescent="0.25">
      <c r="H442" s="549"/>
    </row>
    <row r="443" spans="8:8" ht="21" customHeight="1" x14ac:dyDescent="0.25">
      <c r="H443" s="549"/>
    </row>
    <row r="444" spans="8:8" ht="21" customHeight="1" x14ac:dyDescent="0.25">
      <c r="H444" s="549"/>
    </row>
    <row r="445" spans="8:8" ht="21" customHeight="1" x14ac:dyDescent="0.25">
      <c r="H445" s="549"/>
    </row>
    <row r="446" spans="8:8" ht="21" customHeight="1" x14ac:dyDescent="0.25">
      <c r="H446" s="549"/>
    </row>
    <row r="447" spans="8:8" ht="21" customHeight="1" x14ac:dyDescent="0.25">
      <c r="H447" s="549"/>
    </row>
    <row r="448" spans="8:8" ht="21" customHeight="1" x14ac:dyDescent="0.25">
      <c r="H448" s="549"/>
    </row>
    <row r="449" spans="8:8" ht="21" customHeight="1" x14ac:dyDescent="0.25">
      <c r="H449" s="549"/>
    </row>
    <row r="450" spans="8:8" ht="21" customHeight="1" x14ac:dyDescent="0.25">
      <c r="H450" s="549"/>
    </row>
    <row r="451" spans="8:8" ht="21" customHeight="1" x14ac:dyDescent="0.25">
      <c r="H451" s="549"/>
    </row>
    <row r="452" spans="8:8" ht="21" customHeight="1" x14ac:dyDescent="0.25">
      <c r="H452" s="549"/>
    </row>
    <row r="453" spans="8:8" ht="21" customHeight="1" x14ac:dyDescent="0.25">
      <c r="H453" s="549"/>
    </row>
    <row r="454" spans="8:8" ht="21" customHeight="1" x14ac:dyDescent="0.25">
      <c r="H454" s="549"/>
    </row>
    <row r="455" spans="8:8" ht="21" customHeight="1" x14ac:dyDescent="0.25">
      <c r="H455" s="549"/>
    </row>
    <row r="456" spans="8:8" ht="21" customHeight="1" x14ac:dyDescent="0.25">
      <c r="H456" s="549"/>
    </row>
    <row r="457" spans="8:8" ht="21" customHeight="1" x14ac:dyDescent="0.25">
      <c r="H457" s="549"/>
    </row>
    <row r="458" spans="8:8" ht="21" customHeight="1" x14ac:dyDescent="0.25">
      <c r="H458" s="549"/>
    </row>
    <row r="459" spans="8:8" ht="21" customHeight="1" x14ac:dyDescent="0.25">
      <c r="H459" s="549"/>
    </row>
    <row r="460" spans="8:8" ht="21" customHeight="1" x14ac:dyDescent="0.25">
      <c r="H460" s="549"/>
    </row>
    <row r="461" spans="8:8" ht="21" customHeight="1" x14ac:dyDescent="0.25">
      <c r="H461" s="549"/>
    </row>
    <row r="462" spans="8:8" ht="21" customHeight="1" x14ac:dyDescent="0.25">
      <c r="H462" s="549"/>
    </row>
    <row r="463" spans="8:8" ht="21" customHeight="1" x14ac:dyDescent="0.25">
      <c r="H463" s="549"/>
    </row>
    <row r="464" spans="8:8" ht="21" customHeight="1" x14ac:dyDescent="0.25">
      <c r="H464" s="549"/>
    </row>
    <row r="465" spans="8:8" ht="21" customHeight="1" x14ac:dyDescent="0.25">
      <c r="H465" s="549"/>
    </row>
    <row r="466" spans="8:8" ht="21" customHeight="1" x14ac:dyDescent="0.25">
      <c r="H466" s="549"/>
    </row>
    <row r="467" spans="8:8" ht="21" customHeight="1" x14ac:dyDescent="0.25">
      <c r="H467" s="549"/>
    </row>
    <row r="468" spans="8:8" ht="21" customHeight="1" x14ac:dyDescent="0.25">
      <c r="H468" s="549"/>
    </row>
    <row r="469" spans="8:8" ht="21" customHeight="1" x14ac:dyDescent="0.25">
      <c r="H469" s="549"/>
    </row>
    <row r="470" spans="8:8" ht="21" customHeight="1" x14ac:dyDescent="0.25">
      <c r="H470" s="549"/>
    </row>
    <row r="471" spans="8:8" ht="21" customHeight="1" x14ac:dyDescent="0.25">
      <c r="H471" s="549"/>
    </row>
    <row r="472" spans="8:8" ht="21" customHeight="1" x14ac:dyDescent="0.25">
      <c r="H472" s="549"/>
    </row>
    <row r="473" spans="8:8" ht="21" customHeight="1" x14ac:dyDescent="0.25">
      <c r="H473" s="549"/>
    </row>
    <row r="474" spans="8:8" ht="21" customHeight="1" x14ac:dyDescent="0.25">
      <c r="H474" s="549"/>
    </row>
    <row r="475" spans="8:8" ht="21" customHeight="1" x14ac:dyDescent="0.25">
      <c r="H475" s="549"/>
    </row>
    <row r="476" spans="8:8" ht="21" customHeight="1" x14ac:dyDescent="0.25">
      <c r="H476" s="549"/>
    </row>
    <row r="477" spans="8:8" ht="21" customHeight="1" x14ac:dyDescent="0.25">
      <c r="H477" s="549"/>
    </row>
    <row r="478" spans="8:8" ht="21" customHeight="1" x14ac:dyDescent="0.25">
      <c r="H478" s="549"/>
    </row>
    <row r="479" spans="8:8" ht="21" customHeight="1" x14ac:dyDescent="0.25">
      <c r="H479" s="549"/>
    </row>
    <row r="480" spans="8:8" ht="21" customHeight="1" x14ac:dyDescent="0.25">
      <c r="H480" s="549"/>
    </row>
    <row r="481" spans="8:8" ht="21" customHeight="1" x14ac:dyDescent="0.25">
      <c r="H481" s="549"/>
    </row>
    <row r="482" spans="8:8" ht="21" customHeight="1" x14ac:dyDescent="0.25">
      <c r="H482" s="549"/>
    </row>
    <row r="483" spans="8:8" ht="21" customHeight="1" x14ac:dyDescent="0.25">
      <c r="H483" s="549"/>
    </row>
    <row r="484" spans="8:8" ht="21" customHeight="1" x14ac:dyDescent="0.25">
      <c r="H484" s="549"/>
    </row>
    <row r="485" spans="8:8" ht="21" customHeight="1" x14ac:dyDescent="0.25">
      <c r="H485" s="549"/>
    </row>
    <row r="486" spans="8:8" ht="21" customHeight="1" x14ac:dyDescent="0.25">
      <c r="H486" s="549"/>
    </row>
    <row r="487" spans="8:8" ht="21" customHeight="1" x14ac:dyDescent="0.25">
      <c r="H487" s="549"/>
    </row>
    <row r="488" spans="8:8" ht="21" customHeight="1" x14ac:dyDescent="0.25">
      <c r="H488" s="549"/>
    </row>
    <row r="489" spans="8:8" ht="21" customHeight="1" x14ac:dyDescent="0.25">
      <c r="H489" s="549"/>
    </row>
    <row r="490" spans="8:8" ht="21" customHeight="1" x14ac:dyDescent="0.25">
      <c r="H490" s="549"/>
    </row>
    <row r="491" spans="8:8" ht="21" customHeight="1" x14ac:dyDescent="0.25">
      <c r="H491" s="549"/>
    </row>
    <row r="492" spans="8:8" ht="21" customHeight="1" x14ac:dyDescent="0.25">
      <c r="H492" s="549"/>
    </row>
    <row r="493" spans="8:8" ht="21" customHeight="1" x14ac:dyDescent="0.25">
      <c r="H493" s="549"/>
    </row>
    <row r="494" spans="8:8" ht="21" customHeight="1" x14ac:dyDescent="0.25">
      <c r="H494" s="549"/>
    </row>
    <row r="495" spans="8:8" ht="21" customHeight="1" x14ac:dyDescent="0.25">
      <c r="H495" s="549"/>
    </row>
    <row r="496" spans="8:8" ht="21" customHeight="1" x14ac:dyDescent="0.25">
      <c r="H496" s="549"/>
    </row>
    <row r="497" spans="8:8" ht="21" customHeight="1" x14ac:dyDescent="0.25">
      <c r="H497" s="549"/>
    </row>
    <row r="498" spans="8:8" ht="21" customHeight="1" x14ac:dyDescent="0.25">
      <c r="H498" s="549"/>
    </row>
    <row r="499" spans="8:8" ht="21" customHeight="1" x14ac:dyDescent="0.25">
      <c r="H499" s="549"/>
    </row>
    <row r="500" spans="8:8" ht="21" customHeight="1" x14ac:dyDescent="0.25">
      <c r="H500" s="549"/>
    </row>
    <row r="501" spans="8:8" ht="21" customHeight="1" x14ac:dyDescent="0.25">
      <c r="H501" s="549"/>
    </row>
    <row r="502" spans="8:8" ht="21" customHeight="1" x14ac:dyDescent="0.25">
      <c r="H502" s="549"/>
    </row>
    <row r="503" spans="8:8" ht="21" customHeight="1" x14ac:dyDescent="0.25">
      <c r="H503" s="549"/>
    </row>
    <row r="504" spans="8:8" ht="21" customHeight="1" x14ac:dyDescent="0.25">
      <c r="H504" s="549"/>
    </row>
    <row r="505" spans="8:8" ht="21" customHeight="1" x14ac:dyDescent="0.25">
      <c r="H505" s="549"/>
    </row>
    <row r="506" spans="8:8" ht="21" customHeight="1" x14ac:dyDescent="0.25">
      <c r="H506" s="549"/>
    </row>
    <row r="507" spans="8:8" ht="21" customHeight="1" x14ac:dyDescent="0.25">
      <c r="H507" s="549"/>
    </row>
    <row r="508" spans="8:8" ht="21" customHeight="1" x14ac:dyDescent="0.25">
      <c r="H508" s="549"/>
    </row>
    <row r="509" spans="8:8" ht="21" customHeight="1" x14ac:dyDescent="0.25">
      <c r="H509" s="549"/>
    </row>
    <row r="510" spans="8:8" ht="21" customHeight="1" x14ac:dyDescent="0.25">
      <c r="H510" s="549"/>
    </row>
    <row r="511" spans="8:8" ht="21" customHeight="1" x14ac:dyDescent="0.25">
      <c r="H511" s="549"/>
    </row>
    <row r="512" spans="8:8" ht="21" customHeight="1" x14ac:dyDescent="0.25">
      <c r="H512" s="549"/>
    </row>
    <row r="513" spans="8:8" ht="21" customHeight="1" x14ac:dyDescent="0.25">
      <c r="H513" s="549"/>
    </row>
    <row r="514" spans="8:8" ht="21" customHeight="1" x14ac:dyDescent="0.25">
      <c r="H514" s="549"/>
    </row>
    <row r="515" spans="8:8" ht="21" customHeight="1" x14ac:dyDescent="0.25">
      <c r="H515" s="549"/>
    </row>
    <row r="516" spans="8:8" ht="21" customHeight="1" x14ac:dyDescent="0.25">
      <c r="H516" s="549"/>
    </row>
    <row r="517" spans="8:8" ht="21" customHeight="1" x14ac:dyDescent="0.25">
      <c r="H517" s="549"/>
    </row>
    <row r="518" spans="8:8" ht="21" customHeight="1" x14ac:dyDescent="0.25">
      <c r="H518" s="549"/>
    </row>
    <row r="519" spans="8:8" ht="21" customHeight="1" x14ac:dyDescent="0.25">
      <c r="H519" s="549"/>
    </row>
    <row r="520" spans="8:8" ht="21" customHeight="1" x14ac:dyDescent="0.25">
      <c r="H520" s="549"/>
    </row>
    <row r="521" spans="8:8" ht="21" customHeight="1" x14ac:dyDescent="0.25">
      <c r="H521" s="549"/>
    </row>
    <row r="522" spans="8:8" ht="21" customHeight="1" x14ac:dyDescent="0.25">
      <c r="H522" s="549"/>
    </row>
    <row r="523" spans="8:8" ht="21" customHeight="1" x14ac:dyDescent="0.25">
      <c r="H523" s="549"/>
    </row>
    <row r="524" spans="8:8" ht="21" customHeight="1" x14ac:dyDescent="0.25">
      <c r="H524" s="549"/>
    </row>
    <row r="525" spans="8:8" ht="21" customHeight="1" x14ac:dyDescent="0.25">
      <c r="H525" s="549"/>
    </row>
    <row r="526" spans="8:8" ht="21" customHeight="1" x14ac:dyDescent="0.25">
      <c r="H526" s="549"/>
    </row>
    <row r="527" spans="8:8" ht="21" customHeight="1" x14ac:dyDescent="0.25">
      <c r="H527" s="549"/>
    </row>
    <row r="528" spans="8:8" ht="21" customHeight="1" x14ac:dyDescent="0.25">
      <c r="H528" s="549"/>
    </row>
    <row r="529" spans="8:8" ht="21" customHeight="1" x14ac:dyDescent="0.25">
      <c r="H529" s="549"/>
    </row>
    <row r="530" spans="8:8" ht="21" customHeight="1" x14ac:dyDescent="0.25">
      <c r="H530" s="549"/>
    </row>
    <row r="531" spans="8:8" ht="21" customHeight="1" x14ac:dyDescent="0.25">
      <c r="H531" s="549"/>
    </row>
    <row r="532" spans="8:8" ht="21" customHeight="1" x14ac:dyDescent="0.25">
      <c r="H532" s="549"/>
    </row>
    <row r="533" spans="8:8" ht="21" customHeight="1" x14ac:dyDescent="0.25">
      <c r="H533" s="549"/>
    </row>
    <row r="534" spans="8:8" ht="21" customHeight="1" x14ac:dyDescent="0.25">
      <c r="H534" s="549"/>
    </row>
    <row r="535" spans="8:8" ht="21" customHeight="1" x14ac:dyDescent="0.25">
      <c r="H535" s="549"/>
    </row>
    <row r="536" spans="8:8" ht="21" customHeight="1" x14ac:dyDescent="0.25">
      <c r="H536" s="549"/>
    </row>
    <row r="537" spans="8:8" ht="21" customHeight="1" x14ac:dyDescent="0.25">
      <c r="H537" s="549"/>
    </row>
    <row r="538" spans="8:8" ht="21" customHeight="1" x14ac:dyDescent="0.25">
      <c r="H538" s="549"/>
    </row>
    <row r="539" spans="8:8" ht="21" customHeight="1" x14ac:dyDescent="0.25">
      <c r="H539" s="549"/>
    </row>
    <row r="540" spans="8:8" ht="21" customHeight="1" x14ac:dyDescent="0.25">
      <c r="H540" s="549"/>
    </row>
    <row r="541" spans="8:8" ht="21" customHeight="1" x14ac:dyDescent="0.25">
      <c r="H541" s="549"/>
    </row>
    <row r="542" spans="8:8" ht="21" customHeight="1" x14ac:dyDescent="0.25">
      <c r="H542" s="549"/>
    </row>
    <row r="543" spans="8:8" ht="21" customHeight="1" x14ac:dyDescent="0.25">
      <c r="H543" s="549"/>
    </row>
    <row r="544" spans="8:8" ht="21" customHeight="1" x14ac:dyDescent="0.25">
      <c r="H544" s="549"/>
    </row>
    <row r="545" spans="8:8" ht="21" customHeight="1" x14ac:dyDescent="0.25">
      <c r="H545" s="549"/>
    </row>
    <row r="546" spans="8:8" ht="21" customHeight="1" x14ac:dyDescent="0.25">
      <c r="H546" s="549"/>
    </row>
    <row r="547" spans="8:8" ht="21" customHeight="1" x14ac:dyDescent="0.25">
      <c r="H547" s="549"/>
    </row>
    <row r="548" spans="8:8" ht="21" customHeight="1" x14ac:dyDescent="0.25">
      <c r="H548" s="549"/>
    </row>
    <row r="549" spans="8:8" ht="21" customHeight="1" x14ac:dyDescent="0.25">
      <c r="H549" s="549"/>
    </row>
    <row r="550" spans="8:8" ht="21" customHeight="1" x14ac:dyDescent="0.25">
      <c r="H550" s="549"/>
    </row>
    <row r="551" spans="8:8" ht="21" customHeight="1" x14ac:dyDescent="0.25">
      <c r="H551" s="549"/>
    </row>
    <row r="552" spans="8:8" ht="21" customHeight="1" x14ac:dyDescent="0.25">
      <c r="H552" s="549"/>
    </row>
  </sheetData>
  <autoFilter ref="A1:S296" xr:uid="{3FB8CAC8-214D-40D0-9228-C9EE6BF6E2D7}">
    <filterColumn colId="3">
      <filters>
        <filter val="Técnico em Multimídia"/>
      </filters>
    </filterColumn>
  </autoFilter>
  <sortState xmlns:xlrd2="http://schemas.microsoft.com/office/spreadsheetml/2017/richdata2" ref="A2:XFD1048507">
    <sortCondition ref="A2:A1048507"/>
  </sortState>
  <conditionalFormatting sqref="H152:H552 I50 H1 I2:I10 H15:H49 H51:H147 H149:H150">
    <cfRule type="duplicateValues" dxfId="2" priority="67"/>
  </conditionalFormatting>
  <hyperlinks>
    <hyperlink ref="J11" r:id="rId1" xr:uid="{51E2E3B6-CDFA-44B5-AF09-C2755A2A94DE}"/>
    <hyperlink ref="J8" r:id="rId2" xr:uid="{47CD44A7-ED28-46F2-BF89-370DE2EDAD96}"/>
    <hyperlink ref="J16" r:id="rId3" xr:uid="{E61B76D9-4510-4302-A437-FF397726BA29}"/>
    <hyperlink ref="J25" r:id="rId4" xr:uid="{E844D1E4-1161-47A7-B9C4-8773B50A9118}"/>
    <hyperlink ref="J26" r:id="rId5" xr:uid="{084A28DC-980F-4879-8BB4-E3EB22F34290}"/>
    <hyperlink ref="J27" r:id="rId6" xr:uid="{C0240CC0-F4F7-41E5-A4C3-C6D8F49D8BFD}"/>
    <hyperlink ref="J28" r:id="rId7" xr:uid="{77DFA124-194C-428C-81C5-2E9CBE046D95}"/>
    <hyperlink ref="J29" r:id="rId8" xr:uid="{2DF74CB2-0BA8-4A05-A4E4-503A0C86D817}"/>
    <hyperlink ref="J30" r:id="rId9" xr:uid="{B8941FD4-E82C-4F98-B7B6-231049FBD1A7}"/>
    <hyperlink ref="J31" r:id="rId10" xr:uid="{3AD4F749-0496-4E6B-A262-E7151ECA43D6}"/>
    <hyperlink ref="J14" r:id="rId11" xr:uid="{B0D3027C-DD63-430D-A230-957715AE6298}"/>
    <hyperlink ref="J32" r:id="rId12" xr:uid="{B351CD49-E950-4E5B-8369-89E63C4BE350}"/>
    <hyperlink ref="J33" r:id="rId13" xr:uid="{9257742B-9437-4048-9030-7CD3726C4D3D}"/>
    <hyperlink ref="J34" r:id="rId14" xr:uid="{8971BA89-FB5A-47E9-9B85-9E3A5932F8A5}"/>
    <hyperlink ref="J35" r:id="rId15" xr:uid="{CC4005CD-CD3D-4CFB-B997-0D831D1F7889}"/>
    <hyperlink ref="J49" r:id="rId16" xr:uid="{6965D6D2-AE30-4006-A373-4175C6E9F8B5}"/>
    <hyperlink ref="J36" r:id="rId17" xr:uid="{501F3257-120B-482B-B60F-3693505DF907}"/>
    <hyperlink ref="J50" r:id="rId18" xr:uid="{F0AEC348-A665-465F-9742-285BE055B0D9}"/>
    <hyperlink ref="J37" r:id="rId19" xr:uid="{6942C162-9490-48A2-9CBB-699A19FE1FCC}"/>
    <hyperlink ref="J38" r:id="rId20" xr:uid="{1527A4F7-51FD-4460-84B5-5D10DDA6FC88}"/>
    <hyperlink ref="J39" r:id="rId21" xr:uid="{8DDD19F9-775C-4661-98C9-14C5F7293EC2}"/>
    <hyperlink ref="J51" r:id="rId22" xr:uid="{C832A4D1-9040-4296-9DAD-873A340948F9}"/>
    <hyperlink ref="J42" r:id="rId23" xr:uid="{FEE29F0B-7AF3-415F-9666-48AA1FDFDA8A}"/>
    <hyperlink ref="J48" r:id="rId24" xr:uid="{D7D8C94B-D664-4191-BFE0-F3E5EFEBCDE2}"/>
    <hyperlink ref="J24" r:id="rId25" xr:uid="{851E4229-A708-4A9A-B311-8E2130857AA4}"/>
    <hyperlink ref="J77" r:id="rId26" xr:uid="{93ABE035-3933-48E5-AA38-A8C7EAD36B6A}"/>
    <hyperlink ref="J65" r:id="rId27" xr:uid="{9640E43A-4DC6-425F-AD5C-EB8092ECEA57}"/>
    <hyperlink ref="J74" r:id="rId28" xr:uid="{548D78DF-8500-4896-80FB-835AB86BBF4D}"/>
    <hyperlink ref="J100" r:id="rId29" xr:uid="{00347E5A-958B-43E9-B329-3B8CD866048C}"/>
    <hyperlink ref="J78" r:id="rId30" xr:uid="{ED6FA2A4-562F-4290-85F0-9593AE072038}"/>
    <hyperlink ref="J79" r:id="rId31" xr:uid="{B7019938-2373-4D45-8CC7-133B6D0C371A}"/>
    <hyperlink ref="J80" r:id="rId32" xr:uid="{263A226D-F7FC-4CEA-BFE4-7930A2A0FDC2}"/>
    <hyperlink ref="J81" r:id="rId33" xr:uid="{166B0066-7817-4F5A-A6AA-AEDCA3926CF2}"/>
    <hyperlink ref="J82" r:id="rId34" xr:uid="{42E40322-1772-47E6-B3D5-94808983FA5F}"/>
    <hyperlink ref="J83" r:id="rId35" xr:uid="{79A862E0-EC3F-41D2-ADF1-07E9EFB163C7}"/>
    <hyperlink ref="J84" r:id="rId36" xr:uid="{88F5090F-3C49-45C8-915D-BCCD77BDD1BB}"/>
    <hyperlink ref="J85" r:id="rId37" xr:uid="{EA32C525-EC8A-414B-9D65-96CC9153FBF1}"/>
    <hyperlink ref="J87" r:id="rId38" xr:uid="{8ACA8F50-D114-47FD-9F90-FE64BD53A763}"/>
    <hyperlink ref="J88" r:id="rId39" xr:uid="{E8F8258B-B852-4470-8D1B-E355376DB1E7}"/>
    <hyperlink ref="J92" r:id="rId40" xr:uid="{B200EF36-3609-4C5B-9F80-B798FEE9141F}"/>
    <hyperlink ref="J99" r:id="rId41" xr:uid="{8BD0D14D-52F6-44A4-A733-530AD6915D11}"/>
    <hyperlink ref="J101" r:id="rId42" xr:uid="{8AC3B368-63F4-445C-8B80-4C40DF550212}"/>
    <hyperlink ref="J102" r:id="rId43" xr:uid="{75545A25-DA04-46DE-AF35-50655DD412C6}"/>
    <hyperlink ref="J103" r:id="rId44" xr:uid="{6E979A10-E08B-42A6-8835-4E766B5F4458}"/>
    <hyperlink ref="J108" r:id="rId45" xr:uid="{B05FB118-4B86-446F-9B06-78619CE06229}"/>
    <hyperlink ref="J113" r:id="rId46" xr:uid="{45EECC4F-CFE6-4E2D-9F2C-BFF2CC71EA40}"/>
    <hyperlink ref="J114" r:id="rId47" xr:uid="{5043D99F-FA96-4A7C-B5A3-7D69E66AFCD7}"/>
    <hyperlink ref="J119" r:id="rId48" xr:uid="{13F67DB6-047A-4BA6-87DC-53C1F2A8D3E0}"/>
    <hyperlink ref="J122" r:id="rId49" xr:uid="{99EF711B-A206-440B-BDE7-94EA2C229082}"/>
    <hyperlink ref="J125" r:id="rId50" xr:uid="{13207A61-42E4-4EF2-8297-452DE7C4CC78}"/>
    <hyperlink ref="J130" r:id="rId51" xr:uid="{D0A8B5DC-AD96-41EF-895C-F62DEBE361C1}"/>
    <hyperlink ref="J137" r:id="rId52" xr:uid="{8DEBC7BB-1173-4667-85AD-455D6E5563E8}"/>
    <hyperlink ref="J138" r:id="rId53" xr:uid="{80F98222-0310-42DB-A89B-766F2F29C407}"/>
    <hyperlink ref="J139" r:id="rId54" xr:uid="{D39EFEC9-DC54-4E49-B82E-C2048C09B132}"/>
    <hyperlink ref="J140" r:id="rId55" xr:uid="{AFD8031F-A3DD-42CC-B211-53FD7167601B}"/>
    <hyperlink ref="J141" r:id="rId56" xr:uid="{BC631EB3-15D2-4832-8D29-96A5F4603602}"/>
    <hyperlink ref="J152" r:id="rId57" xr:uid="{1BDFC3DF-B0A3-4424-A174-62C2B5689C6C}"/>
    <hyperlink ref="J151" r:id="rId58" xr:uid="{2CA4790C-6B0E-4FE6-B094-7E247396BA1B}"/>
    <hyperlink ref="J148" r:id="rId59" xr:uid="{DEB44333-9205-43C6-AF38-2F2B40EA895D}"/>
    <hyperlink ref="J168" r:id="rId60" xr:uid="{C0128B58-2F7F-496E-AE6B-731CAE1DF703}"/>
    <hyperlink ref="J169" r:id="rId61" xr:uid="{75509166-6451-42DF-A888-C42A88CCAA81}"/>
    <hyperlink ref="J167" r:id="rId62" xr:uid="{0D7BCA26-D8E1-4070-84BA-B1D2E11E8A2C}"/>
    <hyperlink ref="J171" r:id="rId63" xr:uid="{DC28CE2A-405E-4578-BD2B-3DF468D91A54}"/>
    <hyperlink ref="J162" r:id="rId64" xr:uid="{5ECC1987-0850-40E2-8728-A8731E44C79A}"/>
    <hyperlink ref="J163" r:id="rId65" xr:uid="{B92073D3-D105-4AE7-B0CD-1A50ABAF5D03}"/>
    <hyperlink ref="J185" r:id="rId66" xr:uid="{4E933E62-8EEF-4232-921A-190A5D236E8F}"/>
    <hyperlink ref="J188" r:id="rId67" xr:uid="{2D97B7ED-20CE-4F29-9748-177652BF87D3}"/>
    <hyperlink ref="J187" r:id="rId68" xr:uid="{B579449E-EA88-4784-A8F5-0068F5C614CA}"/>
    <hyperlink ref="J193" r:id="rId69" xr:uid="{7C20C42E-B388-42E9-8089-D7546AFF0383}"/>
    <hyperlink ref="J194" r:id="rId70" xr:uid="{2E2A16C8-3254-4CBF-A4D2-5E4D8B01F73F}"/>
    <hyperlink ref="J195" r:id="rId71" xr:uid="{67DDC2F5-0115-4EA2-8D8C-37345DBBE1F2}"/>
    <hyperlink ref="J196" r:id="rId72" xr:uid="{81D22201-DBD6-48B8-9675-5A4551F7248F}"/>
    <hyperlink ref="J202" r:id="rId73" xr:uid="{BAA46CF7-D82C-4003-8034-D83178E12378}"/>
    <hyperlink ref="J203" r:id="rId74" xr:uid="{048077EB-8C04-48B1-BA9D-682A30AB242F}"/>
    <hyperlink ref="J197" r:id="rId75" xr:uid="{489F6A43-94B7-4392-99CE-1F18CA5E1673}"/>
    <hyperlink ref="J198" r:id="rId76" xr:uid="{A4A34CED-E630-40F3-BF87-655851D28437}"/>
    <hyperlink ref="J204" r:id="rId77" xr:uid="{FA59A2F9-65E3-4D9F-B4D3-FED1BCD6F554}"/>
    <hyperlink ref="J205" r:id="rId78" xr:uid="{4E0E6031-DA36-449E-B1C1-8F9B8CBA199A}"/>
    <hyperlink ref="J206" r:id="rId79" xr:uid="{8B33DCE0-5E49-444F-B1A6-F9A2C3EDAB52}"/>
    <hyperlink ref="J210" r:id="rId80" xr:uid="{D4C312B8-CB44-4030-8AE7-20A594DDF774}"/>
    <hyperlink ref="J213" r:id="rId81" xr:uid="{606E9AB4-0D1F-45D9-8FD8-FAE59D413A10}"/>
    <hyperlink ref="J215" r:id="rId82" xr:uid="{1AE99716-43BB-4166-913F-3F1673967971}"/>
    <hyperlink ref="J222" r:id="rId83" xr:uid="{6770BC48-DD72-4F8B-9871-0B6F2419D854}"/>
    <hyperlink ref="J228" r:id="rId84" xr:uid="{1A1DCF63-0172-48A0-89EC-80CD163EA6A1}"/>
    <hyperlink ref="J229" r:id="rId85" xr:uid="{2BDD3BA9-F507-4FDF-8D35-DBC1BFD17229}"/>
    <hyperlink ref="J235" r:id="rId86" xr:uid="{0CF383AA-C06E-44DA-B635-B199C0D76640}"/>
    <hyperlink ref="J236" r:id="rId87" xr:uid="{4673E4C6-CD83-46DC-9DD6-88A7080D6178}"/>
    <hyperlink ref="J237" r:id="rId88" xr:uid="{6491AB6A-2CED-4360-8C36-A588B3414788}"/>
    <hyperlink ref="J238" r:id="rId89" xr:uid="{7069AA0C-0DDA-43AD-AC30-F08F48E127A5}"/>
    <hyperlink ref="J240" r:id="rId90" xr:uid="{161D70BC-C500-480C-802C-B50CAB3E1310}"/>
    <hyperlink ref="J241" r:id="rId91" xr:uid="{E19708B7-E9CC-4215-A607-6054CCFE14FB}"/>
    <hyperlink ref="J242" r:id="rId92" xr:uid="{B2E7B57E-067C-4307-9AF1-964502640D54}"/>
    <hyperlink ref="J252" r:id="rId93" xr:uid="{BEE71B4B-6386-4A53-83FC-16621E25F952}"/>
    <hyperlink ref="J253" r:id="rId94" xr:uid="{2483EF68-5536-4E73-B56E-F15A546ED763}"/>
    <hyperlink ref="J254" r:id="rId95" xr:uid="{C2EFD97D-C17D-437A-B0D3-49ABD71CA281}"/>
    <hyperlink ref="J255" r:id="rId96" xr:uid="{B140A55E-AFA3-4EA9-B59F-6114FD812D13}"/>
    <hyperlink ref="J256" r:id="rId97" xr:uid="{8963CBAD-25CE-4E3F-8E95-A20FD3A015E9}"/>
    <hyperlink ref="J257" r:id="rId98" xr:uid="{A5533DBD-12B4-42D6-B1EE-3589CDBD5EF1}"/>
    <hyperlink ref="J258" r:id="rId99" xr:uid="{86891297-B012-4CA6-A735-BF725256C839}"/>
    <hyperlink ref="J259" r:id="rId100" xr:uid="{95CA1329-7F74-438C-859A-1DC5D034073F}"/>
    <hyperlink ref="J260" r:id="rId101" xr:uid="{356DC299-B4FA-49C9-8F40-45970D7CC02C}"/>
    <hyperlink ref="J261" r:id="rId102" xr:uid="{0CC08EC1-C9CB-48D6-BC32-13129F443163}"/>
    <hyperlink ref="J262" r:id="rId103" xr:uid="{2C30466F-389C-454C-9893-6A5850E1AFA4}"/>
    <hyperlink ref="J208" r:id="rId104" xr:uid="{E37FEBBD-FE78-438A-B236-86C8D69E2D83}"/>
    <hyperlink ref="J266" r:id="rId105" xr:uid="{5D4B6A07-E31B-42C1-8171-690F8D728BE2}"/>
    <hyperlink ref="J267" r:id="rId106" xr:uid="{60EC4439-2EB1-476F-B2D1-9FF0EA9F3C6F}"/>
    <hyperlink ref="J225" r:id="rId107" xr:uid="{901AC0CF-5401-422D-B862-2A9C8D7769BB}"/>
    <hyperlink ref="J268" r:id="rId108" xr:uid="{1757A0E3-1CE0-4AD0-BFF2-31119B55A052}"/>
    <hyperlink ref="J22" r:id="rId109" xr:uid="{374B19F7-32A1-4A4B-8C83-3B9E99227173}"/>
    <hyperlink ref="J271" r:id="rId110" xr:uid="{CBA259F5-27BE-48E9-AE9D-4FCF1ABD55BC}"/>
    <hyperlink ref="J272" r:id="rId111" xr:uid="{365BA0C3-8394-4B86-825E-6429C5DEF54A}"/>
    <hyperlink ref="J230" r:id="rId112" xr:uid="{4FD86C3B-950D-418F-9E92-845887E5D7B1}"/>
    <hyperlink ref="J273" r:id="rId113" xr:uid="{D45B9DBB-3EE2-4E0E-B502-C9577FA0EE5F}"/>
    <hyperlink ref="J274" r:id="rId114" xr:uid="{4438255A-7BCC-4437-92E8-FBDEF7E113BB}"/>
    <hyperlink ref="J275" r:id="rId115" xr:uid="{982EA068-BF57-4E0F-A35A-52F05EA3E303}"/>
    <hyperlink ref="J278" r:id="rId116" xr:uid="{AE17B105-C9E6-4999-A7D4-A930E5468CF6}"/>
    <hyperlink ref="J285" r:id="rId117" xr:uid="{E6D1F686-5595-4CB9-8515-E47A4656D0DA}"/>
    <hyperlink ref="J293" r:id="rId118" xr:uid="{A408827C-1A5C-4092-801B-3802338A61F1}"/>
    <hyperlink ref="J294" r:id="rId119" xr:uid="{72BA9067-3738-4233-876D-A4043AB008E2}"/>
    <hyperlink ref="J295" r:id="rId120" xr:uid="{C85BAE8A-91E2-4999-B39B-9D69A85E3095}"/>
  </hyperlinks>
  <pageMargins left="0.511811024" right="0.511811024" top="0.78740157499999996" bottom="0.78740157499999996" header="0.31496062000000002" footer="0.31496062000000002"/>
  <pageSetup paperSize="9" orientation="portrait" r:id="rId121"/>
  <legacyDrawing r:id="rId12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BE1212-591E-4B1E-A678-0DE848DF074C}">
          <x14:formula1>
            <xm:f>Listas!$A$2:$A$6</xm:f>
          </x14:formula1>
          <xm:sqref>P23 C1:C1048506</xm:sqref>
        </x14:dataValidation>
        <x14:dataValidation type="list" allowBlank="1" showInputMessage="1" showErrorMessage="1" xr:uid="{9AE7DBE2-7CCE-48EB-A467-933E65DF4EEA}">
          <x14:formula1>
            <xm:f>Listas!$A$10:$A$16</xm:f>
          </x14:formula1>
          <xm:sqref>N1:N150 N152:N1048506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27CD-3E61-4A26-96CB-8C26A63B2348}">
  <dimension ref="A1:AW98"/>
  <sheetViews>
    <sheetView workbookViewId="0">
      <selection activeCell="H21" sqref="H21"/>
    </sheetView>
  </sheetViews>
  <sheetFormatPr defaultColWidth="13.140625" defaultRowHeight="17.25" customHeight="1" x14ac:dyDescent="0.25"/>
  <cols>
    <col min="1" max="2" width="13.140625" style="505" bestFit="1" customWidth="1"/>
    <col min="3" max="3" width="21.42578125" style="505" customWidth="1"/>
    <col min="4" max="4" width="38.140625" style="512" customWidth="1"/>
    <col min="5" max="5" width="13.140625" style="505" bestFit="1" customWidth="1"/>
    <col min="6" max="6" width="13.28515625" style="505" bestFit="1" customWidth="1"/>
    <col min="7" max="7" width="13.140625" style="505" bestFit="1" customWidth="1"/>
    <col min="8" max="8" width="41.28515625" style="505" customWidth="1"/>
    <col min="9" max="9" width="13.140625" style="505" bestFit="1" customWidth="1"/>
    <col min="10" max="10" width="37.28515625" style="505" customWidth="1"/>
    <col min="11" max="11" width="18.140625" style="505" customWidth="1"/>
    <col min="12" max="12" width="15" style="505" customWidth="1"/>
    <col min="13" max="13" width="15.42578125" style="505" customWidth="1"/>
    <col min="14" max="14" width="12.42578125" style="505" customWidth="1"/>
    <col min="15" max="15" width="40.42578125" style="517" customWidth="1"/>
    <col min="16" max="16" width="47.85546875" style="505" bestFit="1" customWidth="1"/>
    <col min="17" max="48" width="13.140625" style="503" bestFit="1" customWidth="1"/>
    <col min="49" max="49" width="13.140625" style="504" bestFit="1" customWidth="1"/>
    <col min="50" max="50" width="13.140625" style="505" bestFit="1" customWidth="1"/>
    <col min="51" max="16384" width="13.140625" style="505"/>
  </cols>
  <sheetData>
    <row r="1" spans="1:49" ht="17.25" customHeight="1" x14ac:dyDescent="0.25">
      <c r="A1" s="500" t="s">
        <v>820</v>
      </c>
      <c r="B1" s="501" t="s">
        <v>1</v>
      </c>
      <c r="C1" s="500" t="s">
        <v>2</v>
      </c>
      <c r="D1" s="500" t="s">
        <v>3</v>
      </c>
      <c r="E1" s="501" t="s">
        <v>4</v>
      </c>
      <c r="F1" s="500" t="s">
        <v>5</v>
      </c>
      <c r="G1" s="500" t="s">
        <v>6</v>
      </c>
      <c r="H1" s="501" t="s">
        <v>7</v>
      </c>
      <c r="I1" s="501" t="s">
        <v>8</v>
      </c>
      <c r="J1" s="501" t="s">
        <v>9</v>
      </c>
      <c r="K1" s="500" t="s">
        <v>10</v>
      </c>
      <c r="L1" s="500" t="s">
        <v>11</v>
      </c>
      <c r="M1" s="501" t="s">
        <v>12</v>
      </c>
      <c r="N1" s="500" t="s">
        <v>13</v>
      </c>
      <c r="O1" s="502" t="s">
        <v>821</v>
      </c>
      <c r="P1" s="500" t="s">
        <v>17</v>
      </c>
    </row>
    <row r="2" spans="1:49" s="374" customFormat="1" ht="32.25" customHeight="1" x14ac:dyDescent="0.25">
      <c r="A2" s="374" t="s">
        <v>19</v>
      </c>
      <c r="B2" s="374" t="s">
        <v>822</v>
      </c>
      <c r="C2" s="374" t="s">
        <v>20</v>
      </c>
      <c r="D2" s="374" t="s">
        <v>31</v>
      </c>
      <c r="E2" s="374" t="s">
        <v>32</v>
      </c>
      <c r="F2" s="374" t="s">
        <v>20</v>
      </c>
      <c r="G2" s="375">
        <v>46041</v>
      </c>
      <c r="H2" s="374" t="s">
        <v>823</v>
      </c>
      <c r="I2" s="376">
        <v>21848636</v>
      </c>
      <c r="J2" s="377" t="s">
        <v>824</v>
      </c>
      <c r="K2" s="374" t="s">
        <v>825</v>
      </c>
      <c r="L2" s="374" t="s">
        <v>825</v>
      </c>
      <c r="M2" s="374" t="s">
        <v>540</v>
      </c>
      <c r="N2" s="378" t="s">
        <v>826</v>
      </c>
      <c r="O2" s="379" t="s">
        <v>827</v>
      </c>
      <c r="P2" s="481" t="s">
        <v>828</v>
      </c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483"/>
      <c r="AS2" s="483"/>
      <c r="AT2" s="483"/>
      <c r="AU2" s="483"/>
      <c r="AV2" s="483"/>
    </row>
    <row r="3" spans="1:49" s="374" customFormat="1" ht="17.25" customHeight="1" x14ac:dyDescent="0.25">
      <c r="A3" s="374" t="s">
        <v>19</v>
      </c>
      <c r="B3" s="374" t="s">
        <v>829</v>
      </c>
      <c r="C3" s="374" t="s">
        <v>20</v>
      </c>
      <c r="D3" s="374" t="s">
        <v>62</v>
      </c>
      <c r="E3" s="374" t="s">
        <v>22</v>
      </c>
      <c r="F3" s="374" t="s">
        <v>20</v>
      </c>
      <c r="G3" s="375">
        <v>46041</v>
      </c>
      <c r="H3" s="374" t="s">
        <v>830</v>
      </c>
      <c r="I3" s="376">
        <v>25041140</v>
      </c>
      <c r="J3" s="377" t="s">
        <v>831</v>
      </c>
      <c r="K3" s="374" t="s">
        <v>832</v>
      </c>
      <c r="L3" s="374" t="s">
        <v>832</v>
      </c>
      <c r="M3" s="374" t="s">
        <v>70</v>
      </c>
      <c r="N3" s="374" t="s">
        <v>833</v>
      </c>
      <c r="O3" s="374" t="s">
        <v>381</v>
      </c>
      <c r="P3" s="374" t="s">
        <v>834</v>
      </c>
    </row>
    <row r="4" spans="1:49" customFormat="1" ht="17.25" customHeight="1" x14ac:dyDescent="0.25">
      <c r="A4" s="340" t="s">
        <v>19</v>
      </c>
      <c r="B4" s="340" t="s">
        <v>835</v>
      </c>
      <c r="C4" s="340" t="s">
        <v>20</v>
      </c>
      <c r="D4" s="340" t="s">
        <v>40</v>
      </c>
      <c r="E4" s="340" t="s">
        <v>22</v>
      </c>
      <c r="F4" s="340" t="s">
        <v>23</v>
      </c>
      <c r="G4" s="341">
        <v>46041</v>
      </c>
      <c r="H4" s="340" t="s">
        <v>836</v>
      </c>
      <c r="I4" s="342">
        <v>25059702</v>
      </c>
      <c r="J4" s="340" t="s">
        <v>837</v>
      </c>
      <c r="K4" s="340">
        <v>71992007013</v>
      </c>
      <c r="L4" s="343">
        <v>71992007013</v>
      </c>
      <c r="M4" s="340" t="s">
        <v>70</v>
      </c>
      <c r="N4" s="344"/>
      <c r="O4" s="344"/>
      <c r="P4" s="344"/>
    </row>
    <row r="5" spans="1:49" customFormat="1" ht="17.25" customHeight="1" x14ac:dyDescent="0.25">
      <c r="A5" s="323" t="s">
        <v>19</v>
      </c>
      <c r="B5" s="323" t="s">
        <v>838</v>
      </c>
      <c r="C5" s="323" t="s">
        <v>20</v>
      </c>
      <c r="D5" s="323" t="s">
        <v>252</v>
      </c>
      <c r="E5" s="323" t="s">
        <v>22</v>
      </c>
      <c r="F5" s="323" t="s">
        <v>23</v>
      </c>
      <c r="G5" s="324">
        <v>46041</v>
      </c>
      <c r="H5" s="323" t="s">
        <v>839</v>
      </c>
      <c r="I5" s="325">
        <v>25059714</v>
      </c>
      <c r="J5" s="323" t="s">
        <v>840</v>
      </c>
      <c r="K5" s="323">
        <v>71987594026</v>
      </c>
      <c r="L5" s="326">
        <v>71987594026</v>
      </c>
      <c r="M5" s="315" t="s">
        <v>70</v>
      </c>
      <c r="N5" s="315"/>
      <c r="O5" s="315"/>
      <c r="P5" s="315"/>
    </row>
    <row r="6" spans="1:49" customFormat="1" ht="17.25" customHeight="1" x14ac:dyDescent="0.25">
      <c r="A6" s="323" t="s">
        <v>19</v>
      </c>
      <c r="B6" s="323" t="s">
        <v>841</v>
      </c>
      <c r="C6" s="323" t="s">
        <v>20</v>
      </c>
      <c r="D6" s="323" t="s">
        <v>187</v>
      </c>
      <c r="E6" s="323" t="s">
        <v>22</v>
      </c>
      <c r="F6" s="323" t="s">
        <v>23</v>
      </c>
      <c r="G6" s="324">
        <v>46041</v>
      </c>
      <c r="H6" s="329" t="s">
        <v>842</v>
      </c>
      <c r="I6" s="325">
        <v>232951059</v>
      </c>
      <c r="J6" s="323" t="s">
        <v>843</v>
      </c>
      <c r="K6" s="323">
        <v>71992411084</v>
      </c>
      <c r="L6" s="326">
        <v>71992411084</v>
      </c>
      <c r="M6" s="315" t="s">
        <v>70</v>
      </c>
      <c r="N6" s="315"/>
      <c r="O6" s="315"/>
      <c r="P6" s="315"/>
    </row>
    <row r="7" spans="1:49" customFormat="1" ht="17.25" customHeight="1" x14ac:dyDescent="0.25">
      <c r="A7" s="315" t="s">
        <v>19</v>
      </c>
      <c r="B7" s="315" t="s">
        <v>841</v>
      </c>
      <c r="C7" s="315" t="s">
        <v>20</v>
      </c>
      <c r="D7" s="315" t="s">
        <v>187</v>
      </c>
      <c r="E7" s="315" t="s">
        <v>22</v>
      </c>
      <c r="F7" s="315" t="s">
        <v>23</v>
      </c>
      <c r="G7" s="320">
        <v>46041</v>
      </c>
      <c r="H7" s="315" t="s">
        <v>844</v>
      </c>
      <c r="I7" s="321">
        <v>20833846</v>
      </c>
      <c r="J7" s="315" t="s">
        <v>845</v>
      </c>
      <c r="K7" s="315">
        <v>71996209001</v>
      </c>
      <c r="L7" s="322">
        <v>71996209001</v>
      </c>
      <c r="M7" s="315"/>
      <c r="N7" s="315"/>
      <c r="O7" s="315"/>
      <c r="P7" s="315"/>
    </row>
    <row r="8" spans="1:49" customFormat="1" ht="17.25" customHeight="1" x14ac:dyDescent="0.25">
      <c r="A8" s="323" t="s">
        <v>19</v>
      </c>
      <c r="B8" s="323" t="s">
        <v>829</v>
      </c>
      <c r="C8" s="323" t="s">
        <v>20</v>
      </c>
      <c r="D8" s="323" t="s">
        <v>62</v>
      </c>
      <c r="E8" s="323" t="s">
        <v>22</v>
      </c>
      <c r="F8" s="323" t="s">
        <v>23</v>
      </c>
      <c r="G8" s="324">
        <v>46041</v>
      </c>
      <c r="H8" s="323" t="s">
        <v>846</v>
      </c>
      <c r="I8" s="325">
        <v>25059741</v>
      </c>
      <c r="J8" s="323" t="s">
        <v>847</v>
      </c>
      <c r="K8" s="323">
        <v>71991013147</v>
      </c>
      <c r="L8" s="326">
        <v>71991164410</v>
      </c>
      <c r="M8" s="315" t="s">
        <v>70</v>
      </c>
      <c r="N8" s="315"/>
      <c r="O8" s="315"/>
      <c r="P8" s="315"/>
    </row>
    <row r="9" spans="1:49" customFormat="1" ht="17.25" customHeight="1" x14ac:dyDescent="0.25">
      <c r="A9" s="331" t="s">
        <v>19</v>
      </c>
      <c r="B9" s="331" t="s">
        <v>841</v>
      </c>
      <c r="C9" s="331" t="s">
        <v>20</v>
      </c>
      <c r="D9" s="331" t="s">
        <v>187</v>
      </c>
      <c r="E9" s="331" t="s">
        <v>22</v>
      </c>
      <c r="F9" s="331" t="s">
        <v>23</v>
      </c>
      <c r="G9" s="332">
        <v>46041</v>
      </c>
      <c r="H9" s="331" t="s">
        <v>848</v>
      </c>
      <c r="I9" s="333">
        <v>21820917</v>
      </c>
      <c r="J9" s="331" t="s">
        <v>849</v>
      </c>
      <c r="K9" s="331">
        <v>71985291080</v>
      </c>
      <c r="L9" s="334">
        <v>71985291080</v>
      </c>
      <c r="M9" s="331" t="s">
        <v>70</v>
      </c>
      <c r="N9" s="335"/>
      <c r="O9" s="335"/>
      <c r="P9" s="335"/>
    </row>
    <row r="10" spans="1:49" s="506" customFormat="1" ht="17.25" customHeight="1" x14ac:dyDescent="0.25">
      <c r="A10" s="506" t="s">
        <v>19</v>
      </c>
      <c r="B10" s="506" t="s">
        <v>841</v>
      </c>
      <c r="C10" s="506" t="s">
        <v>175</v>
      </c>
      <c r="D10" s="507" t="s">
        <v>187</v>
      </c>
      <c r="E10" s="506" t="s">
        <v>22</v>
      </c>
      <c r="F10" s="506" t="s">
        <v>23</v>
      </c>
      <c r="G10" s="508">
        <v>46041</v>
      </c>
      <c r="H10" s="506" t="s">
        <v>850</v>
      </c>
      <c r="I10" s="509">
        <v>21824900</v>
      </c>
      <c r="J10" s="506" t="s">
        <v>851</v>
      </c>
      <c r="K10" s="506">
        <v>71997254223</v>
      </c>
      <c r="L10" s="506">
        <v>71997254223</v>
      </c>
      <c r="M10" s="506" t="s">
        <v>852</v>
      </c>
      <c r="N10" s="506" t="s">
        <v>852</v>
      </c>
      <c r="O10" s="510" t="s">
        <v>852</v>
      </c>
      <c r="P10" s="506" t="s">
        <v>853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/>
      <c r="AE10" s="503"/>
      <c r="AF10" s="503"/>
      <c r="AG10" s="503"/>
      <c r="AH10" s="503"/>
      <c r="AI10" s="503"/>
      <c r="AJ10" s="503"/>
      <c r="AK10" s="503"/>
      <c r="AL10" s="503"/>
      <c r="AM10" s="503"/>
      <c r="AN10" s="503"/>
      <c r="AO10" s="503"/>
      <c r="AP10" s="503"/>
      <c r="AQ10" s="503"/>
      <c r="AR10" s="503"/>
      <c r="AS10" s="503"/>
      <c r="AT10" s="503"/>
      <c r="AU10" s="503"/>
      <c r="AV10" s="503"/>
      <c r="AW10" s="511"/>
    </row>
    <row r="11" spans="1:49" customFormat="1" ht="17.25" customHeight="1" x14ac:dyDescent="0.25">
      <c r="A11" s="344" t="s">
        <v>19</v>
      </c>
      <c r="B11" s="344" t="s">
        <v>822</v>
      </c>
      <c r="C11" s="344" t="s">
        <v>20</v>
      </c>
      <c r="D11" s="344" t="s">
        <v>31</v>
      </c>
      <c r="E11" s="344" t="s">
        <v>32</v>
      </c>
      <c r="F11" s="344" t="s">
        <v>23</v>
      </c>
      <c r="G11" s="345">
        <v>46041</v>
      </c>
      <c r="H11" s="344" t="s">
        <v>854</v>
      </c>
      <c r="I11" s="346">
        <v>232987619</v>
      </c>
      <c r="J11" s="344" t="s">
        <v>855</v>
      </c>
      <c r="K11" s="344">
        <v>71999086351</v>
      </c>
      <c r="L11" s="347">
        <v>71999086351</v>
      </c>
      <c r="M11" s="344"/>
      <c r="N11" s="344"/>
      <c r="O11" s="344"/>
      <c r="P11" s="344"/>
    </row>
    <row r="12" spans="1:49" customFormat="1" ht="17.25" customHeight="1" x14ac:dyDescent="0.25">
      <c r="A12" s="315" t="s">
        <v>19</v>
      </c>
      <c r="B12" s="315" t="s">
        <v>856</v>
      </c>
      <c r="C12" s="315" t="s">
        <v>20</v>
      </c>
      <c r="D12" s="315" t="s">
        <v>21</v>
      </c>
      <c r="E12" s="315" t="s">
        <v>22</v>
      </c>
      <c r="F12" s="315" t="s">
        <v>23</v>
      </c>
      <c r="G12" s="320">
        <v>46041</v>
      </c>
      <c r="H12" s="315" t="s">
        <v>857</v>
      </c>
      <c r="I12" s="321">
        <v>25059821</v>
      </c>
      <c r="J12" s="328" t="s">
        <v>858</v>
      </c>
      <c r="K12" s="315">
        <v>84988124431</v>
      </c>
      <c r="L12" s="322">
        <v>84988124431</v>
      </c>
      <c r="M12" s="315"/>
      <c r="N12" s="315"/>
      <c r="O12" s="315"/>
      <c r="P12" s="315"/>
    </row>
    <row r="13" spans="1:49" customFormat="1" ht="17.25" customHeight="1" x14ac:dyDescent="0.25">
      <c r="A13" s="335" t="s">
        <v>19</v>
      </c>
      <c r="B13" s="335" t="s">
        <v>859</v>
      </c>
      <c r="C13" s="335" t="s">
        <v>20</v>
      </c>
      <c r="D13" s="335" t="s">
        <v>27</v>
      </c>
      <c r="E13" s="335" t="s">
        <v>22</v>
      </c>
      <c r="F13" s="335" t="s">
        <v>23</v>
      </c>
      <c r="G13" s="336">
        <v>46041</v>
      </c>
      <c r="H13" s="335" t="s">
        <v>860</v>
      </c>
      <c r="I13" s="337">
        <v>21772148</v>
      </c>
      <c r="J13" s="335" t="s">
        <v>861</v>
      </c>
      <c r="K13" s="335">
        <v>71987911639</v>
      </c>
      <c r="L13" s="338">
        <v>71987911639</v>
      </c>
      <c r="M13" s="335"/>
      <c r="N13" s="335"/>
      <c r="O13" s="335"/>
      <c r="P13" s="335"/>
    </row>
    <row r="14" spans="1:49" s="323" customFormat="1" ht="17.25" customHeight="1" x14ac:dyDescent="0.25">
      <c r="A14" s="323" t="s">
        <v>19</v>
      </c>
      <c r="B14" s="323" t="s">
        <v>822</v>
      </c>
      <c r="C14" s="323" t="s">
        <v>20</v>
      </c>
      <c r="D14" s="323" t="s">
        <v>31</v>
      </c>
      <c r="E14" s="323" t="s">
        <v>32</v>
      </c>
      <c r="F14" s="323" t="s">
        <v>23</v>
      </c>
      <c r="G14" s="324">
        <v>46041</v>
      </c>
      <c r="H14" s="323" t="s">
        <v>823</v>
      </c>
      <c r="I14" s="325">
        <v>21848636</v>
      </c>
      <c r="J14" s="354" t="s">
        <v>824</v>
      </c>
      <c r="K14" s="323">
        <v>71991352419</v>
      </c>
      <c r="L14" s="323">
        <v>71991352419</v>
      </c>
      <c r="M14" s="323" t="s">
        <v>540</v>
      </c>
      <c r="N14" s="323" t="s">
        <v>826</v>
      </c>
      <c r="O14" s="323" t="s">
        <v>862</v>
      </c>
      <c r="P14" s="355" t="s">
        <v>828</v>
      </c>
    </row>
    <row r="15" spans="1:49" customFormat="1" ht="17.25" customHeight="1" x14ac:dyDescent="0.25">
      <c r="A15" s="344" t="s">
        <v>19</v>
      </c>
      <c r="B15" s="344" t="s">
        <v>829</v>
      </c>
      <c r="C15" s="344" t="s">
        <v>20</v>
      </c>
      <c r="D15" s="344" t="s">
        <v>62</v>
      </c>
      <c r="E15" s="344" t="s">
        <v>22</v>
      </c>
      <c r="F15" s="344" t="s">
        <v>23</v>
      </c>
      <c r="G15" s="345">
        <v>46041</v>
      </c>
      <c r="H15" s="344" t="s">
        <v>830</v>
      </c>
      <c r="I15" s="346">
        <v>25041140</v>
      </c>
      <c r="J15" s="344" t="s">
        <v>831</v>
      </c>
      <c r="K15" s="344">
        <v>73998434477</v>
      </c>
      <c r="L15" s="347">
        <v>73998434477</v>
      </c>
      <c r="M15" s="344"/>
      <c r="N15" s="344"/>
      <c r="O15" s="344" t="s">
        <v>381</v>
      </c>
      <c r="P15" s="344"/>
    </row>
    <row r="16" spans="1:49" customFormat="1" ht="17.25" customHeight="1" x14ac:dyDescent="0.25">
      <c r="A16" s="315" t="s">
        <v>19</v>
      </c>
      <c r="B16" s="315" t="s">
        <v>829</v>
      </c>
      <c r="C16" s="315" t="s">
        <v>20</v>
      </c>
      <c r="D16" s="315" t="s">
        <v>62</v>
      </c>
      <c r="E16" s="315" t="s">
        <v>22</v>
      </c>
      <c r="F16" s="315" t="s">
        <v>23</v>
      </c>
      <c r="G16" s="320">
        <v>46041</v>
      </c>
      <c r="H16" s="315" t="s">
        <v>863</v>
      </c>
      <c r="I16" s="321">
        <v>21870637</v>
      </c>
      <c r="J16" s="315" t="s">
        <v>864</v>
      </c>
      <c r="K16" s="315">
        <v>71993333360</v>
      </c>
      <c r="L16" s="322">
        <v>71993333360</v>
      </c>
      <c r="M16" s="315" t="s">
        <v>70</v>
      </c>
      <c r="N16" s="315"/>
      <c r="O16" s="315" t="s">
        <v>865</v>
      </c>
      <c r="P16" s="315"/>
    </row>
    <row r="17" spans="1:16" customFormat="1" ht="17.25" customHeight="1" x14ac:dyDescent="0.25">
      <c r="A17" s="323" t="s">
        <v>19</v>
      </c>
      <c r="B17" s="323" t="s">
        <v>856</v>
      </c>
      <c r="C17" s="323" t="s">
        <v>20</v>
      </c>
      <c r="D17" s="323" t="s">
        <v>21</v>
      </c>
      <c r="E17" s="323" t="s">
        <v>22</v>
      </c>
      <c r="F17" s="323" t="s">
        <v>23</v>
      </c>
      <c r="G17" s="324">
        <v>46041</v>
      </c>
      <c r="H17" s="323" t="s">
        <v>866</v>
      </c>
      <c r="I17" s="325">
        <v>23958410</v>
      </c>
      <c r="J17" s="323" t="s">
        <v>867</v>
      </c>
      <c r="K17" s="323">
        <v>71986158023</v>
      </c>
      <c r="L17" s="326">
        <v>71986158023</v>
      </c>
      <c r="M17" s="315" t="s">
        <v>70</v>
      </c>
      <c r="N17" s="315"/>
      <c r="O17" s="315"/>
      <c r="P17" s="315"/>
    </row>
    <row r="18" spans="1:16" customFormat="1" ht="17.25" customHeight="1" x14ac:dyDescent="0.25">
      <c r="A18" s="323" t="s">
        <v>19</v>
      </c>
      <c r="B18" s="323" t="s">
        <v>859</v>
      </c>
      <c r="C18" s="323" t="s">
        <v>20</v>
      </c>
      <c r="D18" s="323" t="s">
        <v>27</v>
      </c>
      <c r="E18" s="323" t="s">
        <v>22</v>
      </c>
      <c r="F18" s="323" t="s">
        <v>23</v>
      </c>
      <c r="G18" s="324">
        <v>46041</v>
      </c>
      <c r="H18" s="323" t="s">
        <v>868</v>
      </c>
      <c r="I18" s="325">
        <v>232953270</v>
      </c>
      <c r="J18" s="328" t="s">
        <v>869</v>
      </c>
      <c r="K18" s="323">
        <v>71982784086</v>
      </c>
      <c r="L18" s="326">
        <v>71991711307</v>
      </c>
      <c r="M18" s="323" t="s">
        <v>70</v>
      </c>
      <c r="N18" s="315"/>
      <c r="O18" s="315"/>
      <c r="P18" s="315"/>
    </row>
    <row r="19" spans="1:16" customFormat="1" ht="17.25" customHeight="1" x14ac:dyDescent="0.25">
      <c r="A19" s="331" t="s">
        <v>19</v>
      </c>
      <c r="B19" s="331" t="s">
        <v>822</v>
      </c>
      <c r="C19" s="331" t="s">
        <v>20</v>
      </c>
      <c r="D19" s="331" t="s">
        <v>31</v>
      </c>
      <c r="E19" s="331" t="s">
        <v>32</v>
      </c>
      <c r="F19" s="331" t="s">
        <v>23</v>
      </c>
      <c r="G19" s="332">
        <v>46041</v>
      </c>
      <c r="H19" s="331" t="s">
        <v>870</v>
      </c>
      <c r="I19" s="333">
        <v>25059973</v>
      </c>
      <c r="J19" s="330" t="s">
        <v>871</v>
      </c>
      <c r="K19" s="331">
        <v>71991581944</v>
      </c>
      <c r="L19" s="334">
        <v>71991581944</v>
      </c>
      <c r="M19" s="331" t="s">
        <v>70</v>
      </c>
      <c r="N19" s="335"/>
      <c r="O19" s="335"/>
      <c r="P19" s="335"/>
    </row>
    <row r="20" spans="1:16" s="315" customFormat="1" ht="17.25" customHeight="1" x14ac:dyDescent="0.25">
      <c r="A20" s="315" t="s">
        <v>19</v>
      </c>
      <c r="B20" s="315" t="s">
        <v>829</v>
      </c>
      <c r="C20" s="315" t="s">
        <v>20</v>
      </c>
      <c r="D20" s="315" t="s">
        <v>62</v>
      </c>
      <c r="E20" s="315" t="s">
        <v>22</v>
      </c>
      <c r="F20" s="315" t="s">
        <v>23</v>
      </c>
      <c r="G20" s="320">
        <v>46041</v>
      </c>
      <c r="H20" s="315" t="s">
        <v>872</v>
      </c>
      <c r="I20" s="321">
        <v>25056110</v>
      </c>
      <c r="J20" s="352" t="s">
        <v>873</v>
      </c>
      <c r="K20" s="315">
        <v>71999091406</v>
      </c>
      <c r="L20" s="315">
        <v>71999091406</v>
      </c>
      <c r="M20" s="315" t="s">
        <v>540</v>
      </c>
      <c r="N20" s="315" t="s">
        <v>874</v>
      </c>
      <c r="O20" s="315" t="s">
        <v>875</v>
      </c>
      <c r="P20" s="315" t="s">
        <v>876</v>
      </c>
    </row>
    <row r="21" spans="1:16" customFormat="1" ht="17.25" customHeight="1" x14ac:dyDescent="0.25">
      <c r="A21" s="348" t="s">
        <v>19</v>
      </c>
      <c r="B21" s="348" t="s">
        <v>856</v>
      </c>
      <c r="C21" s="348" t="s">
        <v>877</v>
      </c>
      <c r="D21" s="348" t="s">
        <v>21</v>
      </c>
      <c r="E21" s="348" t="s">
        <v>22</v>
      </c>
      <c r="F21" s="348" t="s">
        <v>23</v>
      </c>
      <c r="G21" s="349">
        <v>46041</v>
      </c>
      <c r="H21" s="348" t="s">
        <v>878</v>
      </c>
      <c r="I21" s="350">
        <v>25052885</v>
      </c>
      <c r="J21" s="380" t="s">
        <v>879</v>
      </c>
      <c r="K21" s="348">
        <v>71983219207</v>
      </c>
      <c r="L21" s="351">
        <v>71983219207</v>
      </c>
      <c r="M21" s="344" t="s">
        <v>498</v>
      </c>
      <c r="N21" s="344"/>
      <c r="O21" s="344" t="s">
        <v>381</v>
      </c>
      <c r="P21" s="344"/>
    </row>
    <row r="22" spans="1:16" customFormat="1" ht="17.25" customHeight="1" x14ac:dyDescent="0.25">
      <c r="A22" s="348"/>
      <c r="B22" s="348"/>
      <c r="C22" s="348"/>
      <c r="D22" s="348"/>
      <c r="E22" s="348"/>
      <c r="F22" s="348"/>
      <c r="G22" s="349"/>
      <c r="H22" s="348"/>
      <c r="I22" s="350"/>
      <c r="J22" s="380"/>
      <c r="K22" s="348"/>
      <c r="L22" s="351"/>
      <c r="M22" s="344"/>
      <c r="N22" s="344"/>
      <c r="O22" s="344"/>
      <c r="P22" s="344"/>
    </row>
    <row r="23" spans="1:16" customFormat="1" ht="17.25" customHeight="1" x14ac:dyDescent="0.25">
      <c r="A23" s="315" t="s">
        <v>19</v>
      </c>
      <c r="B23" s="315" t="s">
        <v>822</v>
      </c>
      <c r="C23" s="315" t="s">
        <v>20</v>
      </c>
      <c r="D23" s="315" t="s">
        <v>31</v>
      </c>
      <c r="E23" s="315" t="s">
        <v>32</v>
      </c>
      <c r="F23" s="315" t="s">
        <v>23</v>
      </c>
      <c r="G23" s="320">
        <v>46041</v>
      </c>
      <c r="H23" s="315" t="s">
        <v>880</v>
      </c>
      <c r="I23" s="321">
        <v>25060033</v>
      </c>
      <c r="J23" s="315" t="s">
        <v>881</v>
      </c>
      <c r="K23" s="315">
        <v>71982399691</v>
      </c>
      <c r="L23" s="322">
        <v>71982399691</v>
      </c>
      <c r="M23" s="315" t="s">
        <v>310</v>
      </c>
      <c r="N23" s="315"/>
      <c r="O23" s="315"/>
      <c r="P23" s="315"/>
    </row>
    <row r="24" spans="1:16" customFormat="1" ht="17.25" customHeight="1" x14ac:dyDescent="0.25">
      <c r="A24" s="315" t="s">
        <v>19</v>
      </c>
      <c r="B24" s="315" t="s">
        <v>841</v>
      </c>
      <c r="C24" s="315" t="s">
        <v>882</v>
      </c>
      <c r="D24" s="315" t="s">
        <v>187</v>
      </c>
      <c r="E24" s="315" t="s">
        <v>22</v>
      </c>
      <c r="F24" s="315" t="s">
        <v>23</v>
      </c>
      <c r="G24" s="320">
        <v>46041</v>
      </c>
      <c r="H24" s="315" t="s">
        <v>883</v>
      </c>
      <c r="I24" s="321">
        <v>14461127</v>
      </c>
      <c r="J24" s="315" t="s">
        <v>884</v>
      </c>
      <c r="K24" s="315">
        <v>71981608818</v>
      </c>
      <c r="L24" s="322">
        <v>71981608818</v>
      </c>
      <c r="M24" s="315" t="s">
        <v>498</v>
      </c>
      <c r="N24" s="315"/>
      <c r="O24" s="315"/>
      <c r="P24" s="315"/>
    </row>
    <row r="25" spans="1:16" customFormat="1" ht="17.25" customHeight="1" x14ac:dyDescent="0.25">
      <c r="A25" s="315" t="s">
        <v>19</v>
      </c>
      <c r="B25" s="315" t="s">
        <v>841</v>
      </c>
      <c r="C25" s="315" t="s">
        <v>20</v>
      </c>
      <c r="D25" s="315" t="s">
        <v>187</v>
      </c>
      <c r="E25" s="315" t="s">
        <v>22</v>
      </c>
      <c r="F25" s="315" t="s">
        <v>23</v>
      </c>
      <c r="G25" s="320">
        <v>46041</v>
      </c>
      <c r="H25" s="315" t="s">
        <v>885</v>
      </c>
      <c r="I25" s="321">
        <v>21906701</v>
      </c>
      <c r="J25" s="315" t="s">
        <v>886</v>
      </c>
      <c r="K25" s="315"/>
      <c r="L25" s="322">
        <v>71996606775</v>
      </c>
      <c r="M25" s="315"/>
      <c r="N25" s="315"/>
      <c r="O25" s="315"/>
      <c r="P25" s="315"/>
    </row>
    <row r="26" spans="1:16" customFormat="1" ht="17.25" customHeight="1" x14ac:dyDescent="0.25">
      <c r="A26" s="317" t="s">
        <v>19</v>
      </c>
      <c r="B26" s="317" t="s">
        <v>887</v>
      </c>
      <c r="C26" s="317" t="s">
        <v>877</v>
      </c>
      <c r="D26" s="317" t="s">
        <v>44</v>
      </c>
      <c r="E26" s="317" t="s">
        <v>22</v>
      </c>
      <c r="F26" s="317" t="s">
        <v>23</v>
      </c>
      <c r="G26" s="339">
        <v>46041</v>
      </c>
      <c r="H26" s="317" t="s">
        <v>888</v>
      </c>
      <c r="I26" s="318">
        <v>25060076</v>
      </c>
      <c r="J26" s="330" t="s">
        <v>889</v>
      </c>
      <c r="K26" s="317"/>
      <c r="L26" s="319">
        <v>71986363971</v>
      </c>
      <c r="M26" s="335" t="s">
        <v>498</v>
      </c>
      <c r="N26" s="335"/>
      <c r="O26" s="335" t="s">
        <v>890</v>
      </c>
      <c r="P26" s="335"/>
    </row>
    <row r="27" spans="1:16" s="313" customFormat="1" ht="17.25" customHeight="1" x14ac:dyDescent="0.25">
      <c r="A27" s="315" t="s">
        <v>19</v>
      </c>
      <c r="B27" s="315" t="s">
        <v>891</v>
      </c>
      <c r="C27" s="315" t="s">
        <v>20</v>
      </c>
      <c r="D27" s="315" t="s">
        <v>48</v>
      </c>
      <c r="E27" s="315" t="s">
        <v>22</v>
      </c>
      <c r="F27" s="315" t="s">
        <v>23</v>
      </c>
      <c r="G27" s="320">
        <v>46041</v>
      </c>
      <c r="H27" s="315" t="s">
        <v>892</v>
      </c>
      <c r="I27" s="321">
        <v>25059768</v>
      </c>
      <c r="J27" s="315" t="s">
        <v>893</v>
      </c>
      <c r="K27" s="315">
        <v>71984708083</v>
      </c>
      <c r="L27" s="315">
        <v>71984708083</v>
      </c>
      <c r="M27" s="315" t="s">
        <v>70</v>
      </c>
    </row>
    <row r="28" spans="1:16" s="313" customFormat="1" ht="17.25" customHeight="1" x14ac:dyDescent="0.25">
      <c r="A28" s="315" t="s">
        <v>19</v>
      </c>
      <c r="B28" s="315" t="s">
        <v>841</v>
      </c>
      <c r="C28" s="315" t="s">
        <v>20</v>
      </c>
      <c r="D28" s="315" t="s">
        <v>187</v>
      </c>
      <c r="E28" s="315" t="s">
        <v>22</v>
      </c>
      <c r="F28" s="315" t="s">
        <v>23</v>
      </c>
      <c r="G28" s="320">
        <v>46041</v>
      </c>
      <c r="H28" s="315" t="s">
        <v>894</v>
      </c>
      <c r="I28" s="321">
        <v>21824900</v>
      </c>
      <c r="J28" s="315" t="s">
        <v>851</v>
      </c>
      <c r="K28" s="315">
        <v>71997254223</v>
      </c>
      <c r="L28" s="315">
        <v>71997254223</v>
      </c>
      <c r="M28" s="315" t="s">
        <v>70</v>
      </c>
    </row>
    <row r="29" spans="1:16" s="313" customFormat="1" ht="17.25" customHeight="1" x14ac:dyDescent="0.25">
      <c r="A29" s="315" t="s">
        <v>19</v>
      </c>
      <c r="B29" s="315" t="s">
        <v>841</v>
      </c>
      <c r="C29" s="315" t="s">
        <v>20</v>
      </c>
      <c r="D29" s="315" t="s">
        <v>187</v>
      </c>
      <c r="E29" s="315" t="s">
        <v>22</v>
      </c>
      <c r="F29" s="315" t="s">
        <v>23</v>
      </c>
      <c r="G29" s="320">
        <v>46041</v>
      </c>
      <c r="H29" s="315" t="s">
        <v>895</v>
      </c>
      <c r="I29" s="321">
        <v>21885324</v>
      </c>
      <c r="J29" s="315" t="s">
        <v>896</v>
      </c>
      <c r="K29" s="315">
        <v>71999220813</v>
      </c>
      <c r="L29" s="315">
        <v>71999220813</v>
      </c>
      <c r="M29" s="315" t="s">
        <v>70</v>
      </c>
    </row>
    <row r="30" spans="1:16" s="313" customFormat="1" ht="17.25" customHeight="1" x14ac:dyDescent="0.25">
      <c r="A30" s="315" t="s">
        <v>19</v>
      </c>
      <c r="B30" s="315" t="s">
        <v>838</v>
      </c>
      <c r="C30" s="315" t="s">
        <v>20</v>
      </c>
      <c r="D30" s="315" t="s">
        <v>252</v>
      </c>
      <c r="E30" s="315" t="s">
        <v>22</v>
      </c>
      <c r="F30" s="315" t="s">
        <v>23</v>
      </c>
      <c r="G30" s="320">
        <v>46041</v>
      </c>
      <c r="H30" s="315" t="s">
        <v>897</v>
      </c>
      <c r="I30" s="321">
        <v>21767130</v>
      </c>
      <c r="J30" s="315" t="s">
        <v>898</v>
      </c>
      <c r="K30" s="315">
        <v>71981213298</v>
      </c>
      <c r="L30" s="315">
        <v>71996931115</v>
      </c>
      <c r="M30" s="315" t="s">
        <v>70</v>
      </c>
    </row>
    <row r="31" spans="1:16" s="313" customFormat="1" ht="17.25" customHeight="1" x14ac:dyDescent="0.25">
      <c r="A31" s="315" t="s">
        <v>19</v>
      </c>
      <c r="B31" s="315" t="s">
        <v>859</v>
      </c>
      <c r="C31" s="315" t="s">
        <v>20</v>
      </c>
      <c r="D31" s="315" t="s">
        <v>27</v>
      </c>
      <c r="E31" s="315" t="s">
        <v>22</v>
      </c>
      <c r="F31" s="315" t="s">
        <v>23</v>
      </c>
      <c r="G31" s="320">
        <v>46041</v>
      </c>
      <c r="H31" s="315" t="s">
        <v>899</v>
      </c>
      <c r="I31" s="321">
        <v>20748861</v>
      </c>
      <c r="J31" s="315" t="s">
        <v>900</v>
      </c>
      <c r="K31" s="315">
        <v>71988334435</v>
      </c>
      <c r="L31" s="315">
        <v>71988334435</v>
      </c>
      <c r="M31" s="315" t="s">
        <v>70</v>
      </c>
    </row>
    <row r="32" spans="1:16" s="313" customFormat="1" ht="17.25" customHeight="1" x14ac:dyDescent="0.25">
      <c r="A32" s="315" t="s">
        <v>19</v>
      </c>
      <c r="B32" s="315" t="s">
        <v>829</v>
      </c>
      <c r="C32" s="315" t="s">
        <v>20</v>
      </c>
      <c r="D32" s="315" t="s">
        <v>62</v>
      </c>
      <c r="E32" s="315" t="s">
        <v>22</v>
      </c>
      <c r="F32" s="315" t="s">
        <v>23</v>
      </c>
      <c r="G32" s="320">
        <v>46041</v>
      </c>
      <c r="H32" s="315" t="s">
        <v>901</v>
      </c>
      <c r="I32" s="321">
        <v>25059895</v>
      </c>
      <c r="J32" s="315" t="s">
        <v>902</v>
      </c>
      <c r="K32" s="315">
        <v>71988395144</v>
      </c>
      <c r="L32" s="315">
        <v>71988395144</v>
      </c>
      <c r="M32" s="315" t="s">
        <v>70</v>
      </c>
    </row>
    <row r="33" spans="1:16" s="313" customFormat="1" ht="17.25" customHeight="1" x14ac:dyDescent="0.25">
      <c r="A33" s="313" t="s">
        <v>19</v>
      </c>
      <c r="B33" s="313" t="s">
        <v>829</v>
      </c>
      <c r="C33" s="323" t="s">
        <v>20</v>
      </c>
      <c r="D33" s="313" t="s">
        <v>62</v>
      </c>
      <c r="E33" s="313" t="s">
        <v>22</v>
      </c>
      <c r="F33" s="313" t="s">
        <v>23</v>
      </c>
      <c r="G33" s="316">
        <v>46041</v>
      </c>
      <c r="H33" s="313" t="s">
        <v>903</v>
      </c>
      <c r="I33" s="314">
        <v>25059917</v>
      </c>
      <c r="J33" s="313" t="s">
        <v>904</v>
      </c>
      <c r="K33" s="313">
        <v>71984732229</v>
      </c>
      <c r="L33" s="313">
        <v>71984732229</v>
      </c>
      <c r="M33" s="313" t="s">
        <v>70</v>
      </c>
      <c r="O33" s="313" t="s">
        <v>381</v>
      </c>
    </row>
    <row r="34" spans="1:16" s="323" customFormat="1" ht="17.25" customHeight="1" x14ac:dyDescent="0.25">
      <c r="A34" s="323" t="s">
        <v>19</v>
      </c>
      <c r="B34" s="323" t="s">
        <v>822</v>
      </c>
      <c r="C34" s="323" t="s">
        <v>20</v>
      </c>
      <c r="D34" s="323" t="s">
        <v>31</v>
      </c>
      <c r="E34" s="323" t="s">
        <v>32</v>
      </c>
      <c r="F34" s="323" t="s">
        <v>23</v>
      </c>
      <c r="G34" s="324">
        <v>46041</v>
      </c>
      <c r="H34" s="323" t="s">
        <v>823</v>
      </c>
      <c r="I34" s="325">
        <v>21848636</v>
      </c>
      <c r="J34" s="323" t="s">
        <v>824</v>
      </c>
      <c r="K34" s="323">
        <v>71991352419</v>
      </c>
      <c r="L34" s="323">
        <v>71991352419</v>
      </c>
      <c r="M34" s="323" t="s">
        <v>540</v>
      </c>
    </row>
    <row r="35" spans="1:16" s="323" customFormat="1" ht="17.25" customHeight="1" x14ac:dyDescent="0.25">
      <c r="A35" s="323" t="s">
        <v>19</v>
      </c>
      <c r="B35" s="323" t="s">
        <v>859</v>
      </c>
      <c r="C35" s="323" t="s">
        <v>20</v>
      </c>
      <c r="D35" s="323" t="s">
        <v>27</v>
      </c>
      <c r="E35" s="323" t="s">
        <v>22</v>
      </c>
      <c r="F35" s="323" t="s">
        <v>23</v>
      </c>
      <c r="G35" s="324">
        <v>46041</v>
      </c>
      <c r="H35" s="323" t="s">
        <v>905</v>
      </c>
      <c r="I35" s="325">
        <v>25060007</v>
      </c>
      <c r="J35" s="354" t="s">
        <v>906</v>
      </c>
      <c r="K35" s="323">
        <v>71993130500</v>
      </c>
      <c r="L35" s="323">
        <v>71993130500</v>
      </c>
      <c r="M35" s="323" t="s">
        <v>540</v>
      </c>
    </row>
    <row r="36" spans="1:16" s="315" customFormat="1" ht="17.25" customHeight="1" x14ac:dyDescent="0.25">
      <c r="A36" s="315" t="s">
        <v>19</v>
      </c>
      <c r="B36" s="315" t="s">
        <v>856</v>
      </c>
      <c r="C36" s="315" t="s">
        <v>20</v>
      </c>
      <c r="D36" s="315" t="s">
        <v>21</v>
      </c>
      <c r="E36" s="315" t="s">
        <v>22</v>
      </c>
      <c r="F36" s="315" t="s">
        <v>23</v>
      </c>
      <c r="G36" s="320">
        <v>46041</v>
      </c>
      <c r="H36" s="315" t="s">
        <v>907</v>
      </c>
      <c r="I36" s="321">
        <v>25052885</v>
      </c>
      <c r="J36" s="315" t="s">
        <v>879</v>
      </c>
      <c r="K36" s="315">
        <v>71983219207</v>
      </c>
      <c r="L36" s="315">
        <v>71983219207</v>
      </c>
      <c r="M36" s="315" t="s">
        <v>70</v>
      </c>
    </row>
    <row r="37" spans="1:16" s="323" customFormat="1" ht="17.25" customHeight="1" x14ac:dyDescent="0.25">
      <c r="A37" s="323" t="s">
        <v>19</v>
      </c>
      <c r="B37" s="323" t="s">
        <v>822</v>
      </c>
      <c r="C37" s="323" t="s">
        <v>20</v>
      </c>
      <c r="D37" s="323" t="s">
        <v>31</v>
      </c>
      <c r="E37" s="323" t="s">
        <v>32</v>
      </c>
      <c r="F37" s="323" t="s">
        <v>23</v>
      </c>
      <c r="G37" s="324">
        <v>46041</v>
      </c>
      <c r="H37" s="323" t="s">
        <v>908</v>
      </c>
      <c r="I37" s="325">
        <v>25060129</v>
      </c>
      <c r="J37" s="354" t="s">
        <v>909</v>
      </c>
      <c r="K37" s="323">
        <v>71997421548</v>
      </c>
      <c r="L37" s="323">
        <v>71997421548</v>
      </c>
      <c r="M37" s="323" t="s">
        <v>540</v>
      </c>
    </row>
    <row r="38" spans="1:16" s="313" customFormat="1" ht="17.25" customHeight="1" x14ac:dyDescent="0.25">
      <c r="A38" s="313" t="s">
        <v>19</v>
      </c>
      <c r="B38" s="313" t="s">
        <v>859</v>
      </c>
      <c r="C38" s="323" t="s">
        <v>20</v>
      </c>
      <c r="D38" s="313" t="s">
        <v>27</v>
      </c>
      <c r="E38" s="313" t="s">
        <v>22</v>
      </c>
      <c r="F38" s="313" t="s">
        <v>23</v>
      </c>
      <c r="G38" s="316">
        <v>46041</v>
      </c>
      <c r="H38" s="313" t="s">
        <v>910</v>
      </c>
      <c r="I38" s="314">
        <v>25060130</v>
      </c>
      <c r="J38" s="353" t="s">
        <v>911</v>
      </c>
      <c r="K38" s="313">
        <v>71992179759</v>
      </c>
      <c r="L38" s="313">
        <v>71992179759</v>
      </c>
      <c r="M38" s="313" t="s">
        <v>540</v>
      </c>
      <c r="N38" s="313" t="s">
        <v>874</v>
      </c>
      <c r="O38" s="313" t="s">
        <v>827</v>
      </c>
      <c r="P38" s="313" t="s">
        <v>912</v>
      </c>
    </row>
    <row r="39" spans="1:16" s="313" customFormat="1" ht="17.25" customHeight="1" x14ac:dyDescent="0.25">
      <c r="A39" s="315" t="s">
        <v>19</v>
      </c>
      <c r="B39" s="315" t="s">
        <v>887</v>
      </c>
      <c r="C39" s="315" t="s">
        <v>20</v>
      </c>
      <c r="D39" s="315" t="s">
        <v>44</v>
      </c>
      <c r="E39" s="315" t="s">
        <v>22</v>
      </c>
      <c r="F39" s="315" t="s">
        <v>23</v>
      </c>
      <c r="G39" s="320">
        <v>46041</v>
      </c>
      <c r="H39" s="315" t="s">
        <v>913</v>
      </c>
      <c r="I39" s="321">
        <v>25060174</v>
      </c>
      <c r="J39" s="315" t="s">
        <v>914</v>
      </c>
      <c r="K39" s="315">
        <v>21979078153</v>
      </c>
      <c r="L39" s="315">
        <v>21979078153</v>
      </c>
      <c r="M39" s="315" t="s">
        <v>70</v>
      </c>
      <c r="O39" s="313" t="s">
        <v>313</v>
      </c>
    </row>
    <row r="40" spans="1:16" s="313" customFormat="1" ht="17.25" customHeight="1" x14ac:dyDescent="0.25">
      <c r="A40" s="315" t="s">
        <v>19</v>
      </c>
      <c r="B40" s="315" t="s">
        <v>822</v>
      </c>
      <c r="C40" s="315" t="s">
        <v>20</v>
      </c>
      <c r="D40" s="315" t="s">
        <v>31</v>
      </c>
      <c r="E40" s="315" t="s">
        <v>32</v>
      </c>
      <c r="F40" s="315" t="s">
        <v>23</v>
      </c>
      <c r="G40" s="320">
        <v>46041</v>
      </c>
      <c r="H40" s="315" t="s">
        <v>915</v>
      </c>
      <c r="I40" s="321">
        <v>25060213</v>
      </c>
      <c r="J40" s="315" t="s">
        <v>916</v>
      </c>
      <c r="K40" s="315">
        <v>71984410735</v>
      </c>
      <c r="L40" s="315">
        <v>71984410735</v>
      </c>
      <c r="M40" s="315" t="s">
        <v>70</v>
      </c>
    </row>
    <row r="41" spans="1:16" s="313" customFormat="1" ht="17.25" customHeight="1" x14ac:dyDescent="0.25">
      <c r="A41" s="315" t="s">
        <v>19</v>
      </c>
      <c r="B41" s="315" t="s">
        <v>841</v>
      </c>
      <c r="C41" s="315" t="s">
        <v>20</v>
      </c>
      <c r="D41" s="315" t="s">
        <v>187</v>
      </c>
      <c r="E41" s="315" t="s">
        <v>22</v>
      </c>
      <c r="F41" s="315" t="s">
        <v>23</v>
      </c>
      <c r="G41" s="320">
        <v>46041</v>
      </c>
      <c r="H41" s="315" t="s">
        <v>917</v>
      </c>
      <c r="I41" s="321">
        <v>21834869</v>
      </c>
      <c r="J41" s="315" t="s">
        <v>918</v>
      </c>
      <c r="K41" s="315">
        <v>71999136175</v>
      </c>
      <c r="L41" s="315">
        <v>71999136175</v>
      </c>
      <c r="M41" s="315" t="s">
        <v>70</v>
      </c>
    </row>
    <row r="42" spans="1:16" s="313" customFormat="1" ht="17.25" customHeight="1" x14ac:dyDescent="0.25">
      <c r="A42" s="315" t="s">
        <v>19</v>
      </c>
      <c r="B42" s="315" t="s">
        <v>829</v>
      </c>
      <c r="C42" s="315" t="s">
        <v>20</v>
      </c>
      <c r="D42" s="315" t="s">
        <v>62</v>
      </c>
      <c r="E42" s="315" t="s">
        <v>22</v>
      </c>
      <c r="F42" s="315" t="s">
        <v>23</v>
      </c>
      <c r="G42" s="320">
        <v>46041</v>
      </c>
      <c r="H42" s="315" t="s">
        <v>919</v>
      </c>
      <c r="I42" s="321">
        <v>25060254</v>
      </c>
      <c r="J42" s="315" t="s">
        <v>920</v>
      </c>
      <c r="K42" s="315">
        <v>71999881757</v>
      </c>
      <c r="L42" s="315">
        <v>71999881757</v>
      </c>
      <c r="M42" s="315" t="s">
        <v>70</v>
      </c>
    </row>
    <row r="43" spans="1:16" s="313" customFormat="1" ht="27" customHeight="1" x14ac:dyDescent="0.25">
      <c r="A43" s="315" t="s">
        <v>19</v>
      </c>
      <c r="B43" s="315" t="s">
        <v>841</v>
      </c>
      <c r="C43" s="315" t="s">
        <v>20</v>
      </c>
      <c r="D43" s="315" t="s">
        <v>187</v>
      </c>
      <c r="E43" s="315" t="s">
        <v>22</v>
      </c>
      <c r="F43" s="315" t="s">
        <v>23</v>
      </c>
      <c r="G43" s="320">
        <v>46041</v>
      </c>
      <c r="H43" s="315" t="s">
        <v>921</v>
      </c>
      <c r="I43" s="321">
        <v>21878647</v>
      </c>
      <c r="J43" s="315" t="s">
        <v>922</v>
      </c>
      <c r="K43" s="315">
        <v>7133773696</v>
      </c>
      <c r="L43" s="315">
        <v>71984664316</v>
      </c>
      <c r="M43" s="315" t="s">
        <v>70</v>
      </c>
      <c r="O43" s="313" t="s">
        <v>397</v>
      </c>
      <c r="P43" s="356" t="s">
        <v>923</v>
      </c>
    </row>
    <row r="44" spans="1:16" s="315" customFormat="1" ht="17.25" customHeight="1" x14ac:dyDescent="0.25">
      <c r="A44" s="315" t="s">
        <v>19</v>
      </c>
      <c r="B44" s="315" t="s">
        <v>822</v>
      </c>
      <c r="C44" s="315" t="s">
        <v>20</v>
      </c>
      <c r="D44" s="315" t="s">
        <v>31</v>
      </c>
      <c r="E44" s="315" t="s">
        <v>32</v>
      </c>
      <c r="F44" s="315" t="s">
        <v>23</v>
      </c>
      <c r="G44" s="320">
        <v>46041</v>
      </c>
      <c r="H44" s="315" t="s">
        <v>924</v>
      </c>
      <c r="I44" s="321">
        <v>25060399</v>
      </c>
      <c r="J44" s="358" t="s">
        <v>925</v>
      </c>
      <c r="K44" s="315">
        <v>71719869980</v>
      </c>
      <c r="L44" s="315">
        <v>71719869980</v>
      </c>
      <c r="M44" s="315" t="s">
        <v>70</v>
      </c>
      <c r="O44" s="315" t="s">
        <v>926</v>
      </c>
    </row>
    <row r="45" spans="1:16" s="323" customFormat="1" ht="17.25" customHeight="1" x14ac:dyDescent="0.25">
      <c r="A45" s="323" t="s">
        <v>19</v>
      </c>
      <c r="B45" s="323" t="s">
        <v>841</v>
      </c>
      <c r="C45" s="323" t="s">
        <v>20</v>
      </c>
      <c r="D45" s="323" t="s">
        <v>187</v>
      </c>
      <c r="E45" s="323" t="s">
        <v>22</v>
      </c>
      <c r="F45" s="323" t="s">
        <v>23</v>
      </c>
      <c r="G45" s="324">
        <v>46041</v>
      </c>
      <c r="H45" s="323" t="s">
        <v>927</v>
      </c>
      <c r="I45" s="325">
        <v>25060409</v>
      </c>
      <c r="J45" s="357" t="s">
        <v>928</v>
      </c>
      <c r="K45" s="323">
        <v>71987691777</v>
      </c>
      <c r="L45" s="323">
        <v>71987691777</v>
      </c>
      <c r="M45" s="323" t="s">
        <v>540</v>
      </c>
      <c r="N45" s="323" t="s">
        <v>874</v>
      </c>
      <c r="O45" s="323" t="s">
        <v>515</v>
      </c>
      <c r="P45" s="323" t="s">
        <v>929</v>
      </c>
    </row>
    <row r="46" spans="1:16" s="323" customFormat="1" ht="17.25" customHeight="1" x14ac:dyDescent="0.25">
      <c r="A46" s="323" t="s">
        <v>19</v>
      </c>
      <c r="B46" s="323" t="s">
        <v>829</v>
      </c>
      <c r="C46" s="323" t="s">
        <v>20</v>
      </c>
      <c r="D46" s="323" t="s">
        <v>62</v>
      </c>
      <c r="E46" s="323" t="s">
        <v>22</v>
      </c>
      <c r="F46" s="323" t="s">
        <v>23</v>
      </c>
      <c r="G46" s="324">
        <v>46041</v>
      </c>
      <c r="H46" s="323" t="s">
        <v>930</v>
      </c>
      <c r="I46" s="325">
        <v>25060429</v>
      </c>
      <c r="J46" s="354" t="s">
        <v>931</v>
      </c>
      <c r="K46" s="323">
        <v>71991650894</v>
      </c>
      <c r="L46" s="323">
        <v>71991650894</v>
      </c>
      <c r="M46" s="323" t="s">
        <v>540</v>
      </c>
    </row>
    <row r="47" spans="1:16" s="315" customFormat="1" ht="17.25" customHeight="1" x14ac:dyDescent="0.25">
      <c r="A47" s="315" t="s">
        <v>19</v>
      </c>
      <c r="B47" s="315" t="s">
        <v>835</v>
      </c>
      <c r="C47" s="315" t="s">
        <v>20</v>
      </c>
      <c r="D47" s="315" t="s">
        <v>40</v>
      </c>
      <c r="E47" s="315" t="s">
        <v>22</v>
      </c>
      <c r="F47" s="315" t="s">
        <v>23</v>
      </c>
      <c r="G47" s="320">
        <v>46041</v>
      </c>
      <c r="H47" s="315" t="s">
        <v>932</v>
      </c>
      <c r="I47" s="321">
        <v>231917192</v>
      </c>
      <c r="J47" s="315" t="s">
        <v>933</v>
      </c>
      <c r="K47" s="315">
        <v>71983936807</v>
      </c>
      <c r="L47" s="315">
        <v>71983936807</v>
      </c>
      <c r="M47" s="315" t="s">
        <v>448</v>
      </c>
    </row>
    <row r="48" spans="1:16" s="323" customFormat="1" ht="17.25" customHeight="1" x14ac:dyDescent="0.25">
      <c r="A48" s="323" t="s">
        <v>19</v>
      </c>
      <c r="B48" s="323" t="s">
        <v>859</v>
      </c>
      <c r="C48" s="323" t="s">
        <v>20</v>
      </c>
      <c r="D48" s="323" t="s">
        <v>27</v>
      </c>
      <c r="E48" s="323" t="s">
        <v>22</v>
      </c>
      <c r="F48" s="323" t="s">
        <v>23</v>
      </c>
      <c r="G48" s="324">
        <v>46041</v>
      </c>
      <c r="H48" s="323" t="s">
        <v>934</v>
      </c>
      <c r="I48" s="325">
        <v>23984640</v>
      </c>
      <c r="J48" s="354" t="s">
        <v>935</v>
      </c>
      <c r="K48" s="323">
        <v>71984109161</v>
      </c>
      <c r="L48" s="323">
        <v>71984109161</v>
      </c>
      <c r="M48" s="323" t="s">
        <v>540</v>
      </c>
    </row>
    <row r="49" spans="1:48" s="323" customFormat="1" ht="17.25" customHeight="1" x14ac:dyDescent="0.25">
      <c r="A49" s="323" t="s">
        <v>19</v>
      </c>
      <c r="B49" s="323" t="s">
        <v>822</v>
      </c>
      <c r="C49" s="323" t="s">
        <v>20</v>
      </c>
      <c r="D49" s="323" t="s">
        <v>31</v>
      </c>
      <c r="E49" s="323" t="s">
        <v>32</v>
      </c>
      <c r="F49" s="323" t="s">
        <v>23</v>
      </c>
      <c r="G49" s="324">
        <v>46041</v>
      </c>
      <c r="H49" s="323" t="s">
        <v>936</v>
      </c>
      <c r="I49" s="325">
        <v>23920844</v>
      </c>
      <c r="J49" s="323" t="s">
        <v>937</v>
      </c>
      <c r="K49" s="323">
        <v>71987335661</v>
      </c>
      <c r="L49" s="323">
        <v>71987335661</v>
      </c>
      <c r="M49" s="323" t="s">
        <v>540</v>
      </c>
    </row>
    <row r="50" spans="1:48" s="315" customFormat="1" ht="17.25" customHeight="1" x14ac:dyDescent="0.25">
      <c r="A50" s="315" t="s">
        <v>19</v>
      </c>
      <c r="B50" s="315" t="s">
        <v>859</v>
      </c>
      <c r="C50" s="315" t="s">
        <v>20</v>
      </c>
      <c r="D50" s="315" t="s">
        <v>27</v>
      </c>
      <c r="E50" s="315" t="s">
        <v>22</v>
      </c>
      <c r="F50" s="315" t="s">
        <v>23</v>
      </c>
      <c r="G50" s="320">
        <v>46041</v>
      </c>
      <c r="H50" s="315" t="s">
        <v>938</v>
      </c>
      <c r="I50" s="321">
        <v>25060474</v>
      </c>
      <c r="J50" s="315" t="s">
        <v>939</v>
      </c>
      <c r="K50" s="315">
        <v>71982383619</v>
      </c>
      <c r="L50" s="315">
        <v>75982946988</v>
      </c>
      <c r="M50" s="315" t="s">
        <v>448</v>
      </c>
    </row>
    <row r="51" spans="1:48" s="315" customFormat="1" ht="17.25" customHeight="1" x14ac:dyDescent="0.25">
      <c r="A51" s="315" t="s">
        <v>19</v>
      </c>
      <c r="B51" s="315" t="s">
        <v>829</v>
      </c>
      <c r="C51" s="315" t="s">
        <v>882</v>
      </c>
      <c r="D51" s="315" t="s">
        <v>62</v>
      </c>
      <c r="E51" s="315" t="s">
        <v>22</v>
      </c>
      <c r="F51" s="315" t="s">
        <v>23</v>
      </c>
      <c r="G51" s="320">
        <v>46042</v>
      </c>
      <c r="H51" s="315" t="s">
        <v>940</v>
      </c>
      <c r="I51" s="321">
        <v>25060612</v>
      </c>
      <c r="J51" s="315" t="s">
        <v>941</v>
      </c>
      <c r="K51" s="315">
        <v>71982756072</v>
      </c>
      <c r="L51" s="315">
        <v>71982756072</v>
      </c>
      <c r="M51" s="315" t="s">
        <v>448</v>
      </c>
    </row>
    <row r="52" spans="1:48" s="315" customFormat="1" ht="17.25" customHeight="1" x14ac:dyDescent="0.25">
      <c r="A52" s="315" t="s">
        <v>19</v>
      </c>
      <c r="B52" s="315" t="s">
        <v>829</v>
      </c>
      <c r="C52" s="315" t="s">
        <v>882</v>
      </c>
      <c r="D52" s="315" t="s">
        <v>62</v>
      </c>
      <c r="E52" s="315" t="s">
        <v>22</v>
      </c>
      <c r="F52" s="315" t="s">
        <v>23</v>
      </c>
      <c r="G52" s="320">
        <v>46042</v>
      </c>
      <c r="H52" s="315" t="s">
        <v>942</v>
      </c>
      <c r="I52" s="321">
        <v>25060637</v>
      </c>
      <c r="J52" s="315" t="s">
        <v>943</v>
      </c>
      <c r="K52" s="315">
        <v>71988075163</v>
      </c>
      <c r="L52" s="315">
        <v>71988075163</v>
      </c>
      <c r="M52" s="315" t="s">
        <v>448</v>
      </c>
    </row>
    <row r="53" spans="1:48" s="323" customFormat="1" ht="17.25" customHeight="1" x14ac:dyDescent="0.25">
      <c r="A53" s="323" t="s">
        <v>19</v>
      </c>
      <c r="B53" s="323" t="s">
        <v>829</v>
      </c>
      <c r="C53" s="323" t="s">
        <v>20</v>
      </c>
      <c r="D53" s="323" t="s">
        <v>62</v>
      </c>
      <c r="E53" s="323" t="s">
        <v>22</v>
      </c>
      <c r="F53" s="323" t="s">
        <v>23</v>
      </c>
      <c r="G53" s="324">
        <v>46041</v>
      </c>
      <c r="H53" s="323" t="s">
        <v>944</v>
      </c>
      <c r="I53" s="325">
        <v>25059928</v>
      </c>
      <c r="J53" s="354" t="s">
        <v>945</v>
      </c>
      <c r="K53" s="323">
        <v>71994130064</v>
      </c>
      <c r="L53" s="323">
        <v>71994130064</v>
      </c>
      <c r="M53" s="323" t="s">
        <v>540</v>
      </c>
    </row>
    <row r="54" spans="1:48" s="313" customFormat="1" ht="17.25" customHeight="1" x14ac:dyDescent="0.25">
      <c r="A54" s="315" t="s">
        <v>19</v>
      </c>
      <c r="B54" s="315" t="s">
        <v>841</v>
      </c>
      <c r="C54" s="323" t="s">
        <v>20</v>
      </c>
      <c r="D54" s="315" t="s">
        <v>187</v>
      </c>
      <c r="E54" s="315" t="s">
        <v>22</v>
      </c>
      <c r="F54" s="315" t="s">
        <v>23</v>
      </c>
      <c r="G54" s="320">
        <v>46041</v>
      </c>
      <c r="H54" s="315" t="s">
        <v>946</v>
      </c>
      <c r="I54" s="321">
        <v>25060146</v>
      </c>
      <c r="J54" s="358" t="s">
        <v>947</v>
      </c>
      <c r="K54" s="315">
        <v>73998497101</v>
      </c>
      <c r="L54" s="315">
        <v>73998497101</v>
      </c>
      <c r="M54" s="315" t="s">
        <v>540</v>
      </c>
    </row>
    <row r="55" spans="1:48" s="313" customFormat="1" ht="17.25" customHeight="1" x14ac:dyDescent="0.25">
      <c r="A55" s="323" t="s">
        <v>19</v>
      </c>
      <c r="B55" s="323" t="s">
        <v>829</v>
      </c>
      <c r="C55" s="323" t="s">
        <v>20</v>
      </c>
      <c r="D55" s="323" t="s">
        <v>62</v>
      </c>
      <c r="E55" s="323" t="s">
        <v>22</v>
      </c>
      <c r="F55" s="323" t="s">
        <v>23</v>
      </c>
      <c r="G55" s="324">
        <v>46041</v>
      </c>
      <c r="H55" s="323" t="s">
        <v>919</v>
      </c>
      <c r="I55" s="325">
        <v>25060254</v>
      </c>
      <c r="J55" s="323" t="s">
        <v>920</v>
      </c>
      <c r="K55" s="323">
        <v>71999881757</v>
      </c>
      <c r="L55" s="323">
        <v>71999881757</v>
      </c>
      <c r="M55" s="315" t="s">
        <v>70</v>
      </c>
    </row>
    <row r="56" spans="1:48" s="313" customFormat="1" ht="17.25" customHeight="1" x14ac:dyDescent="0.25">
      <c r="A56" s="323" t="s">
        <v>19</v>
      </c>
      <c r="B56" s="323" t="s">
        <v>822</v>
      </c>
      <c r="C56" s="323" t="s">
        <v>20</v>
      </c>
      <c r="D56" s="323" t="s">
        <v>31</v>
      </c>
      <c r="E56" s="323" t="s">
        <v>32</v>
      </c>
      <c r="F56" s="323" t="s">
        <v>23</v>
      </c>
      <c r="G56" s="324">
        <v>46041</v>
      </c>
      <c r="H56" s="323" t="s">
        <v>948</v>
      </c>
      <c r="I56" s="325">
        <v>25060291</v>
      </c>
      <c r="J56" s="323" t="s">
        <v>949</v>
      </c>
      <c r="K56" s="323">
        <v>71987435381</v>
      </c>
      <c r="L56" s="323">
        <v>71987435381</v>
      </c>
      <c r="M56" s="315" t="s">
        <v>70</v>
      </c>
    </row>
    <row r="57" spans="1:48" s="370" customFormat="1" ht="17.25" customHeight="1" x14ac:dyDescent="0.25">
      <c r="A57" s="370" t="s">
        <v>19</v>
      </c>
      <c r="B57" s="370" t="s">
        <v>829</v>
      </c>
      <c r="C57" s="315" t="s">
        <v>950</v>
      </c>
      <c r="D57" s="370" t="s">
        <v>62</v>
      </c>
      <c r="E57" s="370" t="s">
        <v>22</v>
      </c>
      <c r="F57" s="370" t="s">
        <v>23</v>
      </c>
      <c r="G57" s="371">
        <v>46041</v>
      </c>
      <c r="H57" s="370" t="s">
        <v>951</v>
      </c>
      <c r="I57" s="372">
        <v>25060298</v>
      </c>
      <c r="J57" s="370" t="s">
        <v>952</v>
      </c>
      <c r="K57" s="370">
        <v>71982395004</v>
      </c>
      <c r="L57" s="370">
        <v>71992473323</v>
      </c>
      <c r="M57" s="370" t="s">
        <v>70</v>
      </c>
      <c r="O57" s="370" t="s">
        <v>953</v>
      </c>
    </row>
    <row r="58" spans="1:48" s="313" customFormat="1" ht="17.25" customHeight="1" x14ac:dyDescent="0.25">
      <c r="A58" s="323" t="s">
        <v>19</v>
      </c>
      <c r="B58" s="323" t="s">
        <v>838</v>
      </c>
      <c r="C58" s="323" t="s">
        <v>20</v>
      </c>
      <c r="D58" s="323" t="s">
        <v>252</v>
      </c>
      <c r="E58" s="323" t="s">
        <v>22</v>
      </c>
      <c r="F58" s="323" t="s">
        <v>23</v>
      </c>
      <c r="G58" s="324">
        <v>46041</v>
      </c>
      <c r="H58" s="323" t="s">
        <v>954</v>
      </c>
      <c r="I58" s="325">
        <v>25060114</v>
      </c>
      <c r="J58" s="357" t="s">
        <v>955</v>
      </c>
      <c r="K58" s="323">
        <v>75981941167</v>
      </c>
      <c r="L58" s="323">
        <v>75981941167</v>
      </c>
      <c r="M58" s="323" t="s">
        <v>70</v>
      </c>
      <c r="P58" s="317"/>
      <c r="Q58" s="317"/>
      <c r="R58" s="317"/>
      <c r="S58" s="317"/>
      <c r="T58" s="317"/>
      <c r="U58" s="317"/>
      <c r="V58" s="317"/>
      <c r="W58" s="317"/>
      <c r="X58" s="317"/>
      <c r="Y58" s="317"/>
      <c r="Z58" s="317"/>
      <c r="AA58" s="317"/>
      <c r="AB58" s="317"/>
      <c r="AC58" s="317"/>
      <c r="AD58" s="317"/>
      <c r="AE58" s="317"/>
      <c r="AF58" s="317"/>
      <c r="AG58" s="317"/>
      <c r="AH58" s="317"/>
      <c r="AI58" s="317"/>
      <c r="AJ58" s="317"/>
      <c r="AK58" s="317"/>
      <c r="AL58" s="317"/>
      <c r="AM58" s="317"/>
      <c r="AN58" s="317"/>
      <c r="AO58" s="317"/>
      <c r="AP58" s="317"/>
      <c r="AQ58" s="317"/>
      <c r="AR58" s="317"/>
      <c r="AS58" s="317"/>
      <c r="AT58" s="317"/>
      <c r="AU58" s="317"/>
      <c r="AV58" s="317"/>
    </row>
    <row r="59" spans="1:48" ht="27" customHeight="1" x14ac:dyDescent="0.25">
      <c r="A59" s="505" t="s">
        <v>19</v>
      </c>
      <c r="B59" s="505" t="s">
        <v>887</v>
      </c>
      <c r="C59" s="516" t="s">
        <v>20</v>
      </c>
      <c r="D59" s="512" t="s">
        <v>44</v>
      </c>
      <c r="E59" s="505" t="s">
        <v>22</v>
      </c>
      <c r="F59" s="505" t="s">
        <v>23</v>
      </c>
      <c r="G59" s="513">
        <v>46041</v>
      </c>
      <c r="H59" s="505" t="s">
        <v>956</v>
      </c>
      <c r="I59" s="514">
        <v>25059927</v>
      </c>
      <c r="J59" s="515" t="s">
        <v>957</v>
      </c>
      <c r="K59" s="505">
        <v>71986898286</v>
      </c>
      <c r="L59" s="505">
        <v>71986898286</v>
      </c>
      <c r="M59" s="516" t="s">
        <v>70</v>
      </c>
      <c r="O59" s="517" t="s">
        <v>958</v>
      </c>
      <c r="P59" s="512"/>
    </row>
    <row r="60" spans="1:48" s="313" customFormat="1" ht="17.25" customHeight="1" x14ac:dyDescent="0.25">
      <c r="A60" s="323" t="s">
        <v>19</v>
      </c>
      <c r="B60" s="323" t="s">
        <v>859</v>
      </c>
      <c r="C60" s="323" t="s">
        <v>20</v>
      </c>
      <c r="D60" s="323" t="s">
        <v>27</v>
      </c>
      <c r="E60" s="323" t="s">
        <v>22</v>
      </c>
      <c r="F60" s="323" t="s">
        <v>23</v>
      </c>
      <c r="G60" s="324">
        <v>46041</v>
      </c>
      <c r="H60" s="323" t="s">
        <v>959</v>
      </c>
      <c r="I60" s="325">
        <v>25060130</v>
      </c>
      <c r="J60" s="357" t="s">
        <v>911</v>
      </c>
      <c r="K60" s="323">
        <v>71992179759</v>
      </c>
      <c r="L60" s="323">
        <v>71992179759</v>
      </c>
      <c r="M60" s="323" t="s">
        <v>70</v>
      </c>
      <c r="P60" s="348"/>
      <c r="Q60" s="348"/>
      <c r="R60" s="348"/>
      <c r="S60" s="348"/>
      <c r="T60" s="348"/>
      <c r="U60" s="348"/>
      <c r="V60" s="348"/>
      <c r="W60" s="348"/>
      <c r="X60" s="348"/>
      <c r="Y60" s="348"/>
      <c r="Z60" s="348"/>
      <c r="AA60" s="348"/>
      <c r="AB60" s="348"/>
      <c r="AC60" s="348"/>
      <c r="AD60" s="348"/>
      <c r="AE60" s="348"/>
      <c r="AF60" s="348"/>
      <c r="AG60" s="348"/>
      <c r="AH60" s="348"/>
      <c r="AI60" s="348"/>
      <c r="AJ60" s="348"/>
      <c r="AK60" s="348"/>
      <c r="AL60" s="348"/>
      <c r="AM60" s="348"/>
      <c r="AN60" s="348"/>
      <c r="AO60" s="348"/>
      <c r="AP60" s="348"/>
      <c r="AQ60" s="348"/>
      <c r="AR60" s="348"/>
      <c r="AS60" s="348"/>
      <c r="AT60" s="348"/>
      <c r="AU60" s="348"/>
      <c r="AV60" s="348"/>
    </row>
    <row r="61" spans="1:48" s="313" customFormat="1" ht="17.25" customHeight="1" x14ac:dyDescent="0.25">
      <c r="A61" s="323" t="s">
        <v>19</v>
      </c>
      <c r="B61" s="323" t="s">
        <v>841</v>
      </c>
      <c r="C61" s="323" t="s">
        <v>20</v>
      </c>
      <c r="D61" s="323" t="s">
        <v>187</v>
      </c>
      <c r="E61" s="323" t="s">
        <v>22</v>
      </c>
      <c r="F61" s="323" t="s">
        <v>23</v>
      </c>
      <c r="G61" s="324">
        <v>46041</v>
      </c>
      <c r="H61" s="323" t="s">
        <v>960</v>
      </c>
      <c r="I61" s="325">
        <v>12312551</v>
      </c>
      <c r="J61" s="357" t="s">
        <v>961</v>
      </c>
      <c r="K61" s="323">
        <v>71991874385</v>
      </c>
      <c r="L61" s="323">
        <v>71991874385</v>
      </c>
      <c r="M61" s="323" t="s">
        <v>70</v>
      </c>
    </row>
    <row r="62" spans="1:48" s="313" customFormat="1" ht="17.25" customHeight="1" x14ac:dyDescent="0.25">
      <c r="A62" s="323" t="s">
        <v>19</v>
      </c>
      <c r="B62" s="323" t="s">
        <v>859</v>
      </c>
      <c r="C62" s="323" t="s">
        <v>20</v>
      </c>
      <c r="D62" s="323" t="s">
        <v>27</v>
      </c>
      <c r="E62" s="323" t="s">
        <v>22</v>
      </c>
      <c r="F62" s="323" t="s">
        <v>23</v>
      </c>
      <c r="G62" s="324">
        <v>46041</v>
      </c>
      <c r="H62" s="323" t="s">
        <v>962</v>
      </c>
      <c r="I62" s="325">
        <v>25059898</v>
      </c>
      <c r="J62" s="357" t="s">
        <v>963</v>
      </c>
      <c r="K62" s="323">
        <v>71984745348</v>
      </c>
      <c r="L62" s="323">
        <v>71984745348</v>
      </c>
      <c r="M62" s="323" t="s">
        <v>70</v>
      </c>
    </row>
    <row r="63" spans="1:48" s="313" customFormat="1" ht="17.25" customHeight="1" x14ac:dyDescent="0.25">
      <c r="A63" s="323" t="s">
        <v>19</v>
      </c>
      <c r="B63" s="323" t="s">
        <v>829</v>
      </c>
      <c r="C63" s="323" t="s">
        <v>20</v>
      </c>
      <c r="D63" s="323" t="s">
        <v>62</v>
      </c>
      <c r="E63" s="323" t="s">
        <v>22</v>
      </c>
      <c r="F63" s="323" t="s">
        <v>23</v>
      </c>
      <c r="G63" s="324">
        <v>46042</v>
      </c>
      <c r="H63" s="323" t="s">
        <v>964</v>
      </c>
      <c r="I63" s="325">
        <v>25060573</v>
      </c>
      <c r="J63" s="323" t="s">
        <v>965</v>
      </c>
      <c r="K63" s="323">
        <v>71999627161</v>
      </c>
      <c r="L63" s="323">
        <v>71999627161</v>
      </c>
      <c r="M63" s="323" t="s">
        <v>70</v>
      </c>
    </row>
    <row r="64" spans="1:48" s="313" customFormat="1" ht="17.25" customHeight="1" x14ac:dyDescent="0.25">
      <c r="A64" s="323" t="s">
        <v>19</v>
      </c>
      <c r="B64" s="323" t="s">
        <v>822</v>
      </c>
      <c r="C64" s="323" t="s">
        <v>20</v>
      </c>
      <c r="D64" s="323" t="s">
        <v>31</v>
      </c>
      <c r="E64" s="323" t="s">
        <v>32</v>
      </c>
      <c r="F64" s="323" t="s">
        <v>23</v>
      </c>
      <c r="G64" s="324">
        <v>46043</v>
      </c>
      <c r="H64" s="323" t="s">
        <v>966</v>
      </c>
      <c r="I64" s="325">
        <v>232984413</v>
      </c>
      <c r="J64" s="354" t="s">
        <v>967</v>
      </c>
      <c r="K64" s="331">
        <v>71992555221</v>
      </c>
      <c r="L64" s="323">
        <v>71991579793</v>
      </c>
      <c r="M64" s="323" t="s">
        <v>70</v>
      </c>
    </row>
    <row r="65" spans="1:49" s="313" customFormat="1" ht="17.25" customHeight="1" x14ac:dyDescent="0.25">
      <c r="A65" s="323" t="s">
        <v>19</v>
      </c>
      <c r="B65" s="323" t="s">
        <v>822</v>
      </c>
      <c r="C65" s="323" t="s">
        <v>20</v>
      </c>
      <c r="D65" s="323" t="s">
        <v>31</v>
      </c>
      <c r="E65" s="323" t="s">
        <v>32</v>
      </c>
      <c r="F65" s="323" t="s">
        <v>23</v>
      </c>
      <c r="G65" s="324">
        <v>46043</v>
      </c>
      <c r="H65" s="323" t="s">
        <v>968</v>
      </c>
      <c r="I65" s="325">
        <v>25060993</v>
      </c>
      <c r="J65" s="359" t="s">
        <v>969</v>
      </c>
      <c r="K65" s="360" t="s">
        <v>970</v>
      </c>
      <c r="L65" s="360" t="s">
        <v>970</v>
      </c>
      <c r="M65" s="323" t="s">
        <v>70</v>
      </c>
    </row>
    <row r="66" spans="1:49" s="313" customFormat="1" ht="17.25" customHeight="1" x14ac:dyDescent="0.25">
      <c r="A66" s="323" t="s">
        <v>19</v>
      </c>
      <c r="B66" s="323" t="s">
        <v>838</v>
      </c>
      <c r="C66" s="323" t="s">
        <v>20</v>
      </c>
      <c r="D66" s="323" t="s">
        <v>252</v>
      </c>
      <c r="E66" s="323" t="s">
        <v>22</v>
      </c>
      <c r="F66" s="323" t="s">
        <v>23</v>
      </c>
      <c r="G66" s="324">
        <v>46043</v>
      </c>
      <c r="H66" s="323" t="s">
        <v>971</v>
      </c>
      <c r="I66" s="325">
        <v>25060976</v>
      </c>
      <c r="J66" s="354" t="s">
        <v>972</v>
      </c>
      <c r="K66" s="340">
        <v>71983607855</v>
      </c>
      <c r="L66" s="323">
        <v>71983607855</v>
      </c>
      <c r="M66" s="323" t="s">
        <v>70</v>
      </c>
    </row>
    <row r="67" spans="1:49" s="313" customFormat="1" ht="17.25" customHeight="1" x14ac:dyDescent="0.25">
      <c r="A67" s="323" t="s">
        <v>19</v>
      </c>
      <c r="B67" s="323" t="s">
        <v>887</v>
      </c>
      <c r="C67" s="323" t="s">
        <v>20</v>
      </c>
      <c r="D67" s="323" t="s">
        <v>44</v>
      </c>
      <c r="E67" s="323" t="s">
        <v>22</v>
      </c>
      <c r="F67" s="323" t="s">
        <v>23</v>
      </c>
      <c r="G67" s="324">
        <v>46042</v>
      </c>
      <c r="H67" s="323" t="s">
        <v>973</v>
      </c>
      <c r="I67" s="325">
        <v>25060962</v>
      </c>
      <c r="J67" s="354" t="s">
        <v>974</v>
      </c>
      <c r="K67" s="323">
        <v>71992947894</v>
      </c>
      <c r="L67" s="323">
        <v>71992947894</v>
      </c>
      <c r="M67" s="323" t="s">
        <v>70</v>
      </c>
      <c r="O67" s="313" t="s">
        <v>313</v>
      </c>
    </row>
    <row r="68" spans="1:49" s="313" customFormat="1" ht="17.25" customHeight="1" x14ac:dyDescent="0.25">
      <c r="A68" s="323" t="s">
        <v>19</v>
      </c>
      <c r="B68" s="323" t="s">
        <v>822</v>
      </c>
      <c r="C68" s="323" t="s">
        <v>20</v>
      </c>
      <c r="D68" s="323" t="s">
        <v>31</v>
      </c>
      <c r="E68" s="323" t="s">
        <v>22</v>
      </c>
      <c r="F68" s="323" t="s">
        <v>23</v>
      </c>
      <c r="G68" s="324">
        <v>46042</v>
      </c>
      <c r="H68" s="323" t="s">
        <v>975</v>
      </c>
      <c r="I68" s="325">
        <v>25060796</v>
      </c>
      <c r="J68" s="354" t="s">
        <v>976</v>
      </c>
      <c r="K68" s="323">
        <v>71988180110</v>
      </c>
      <c r="L68" s="323">
        <v>71988180110</v>
      </c>
      <c r="M68" s="323" t="s">
        <v>70</v>
      </c>
    </row>
    <row r="69" spans="1:49" s="313" customFormat="1" ht="17.25" customHeight="1" x14ac:dyDescent="0.25">
      <c r="A69" s="323" t="s">
        <v>19</v>
      </c>
      <c r="B69" s="323" t="s">
        <v>822</v>
      </c>
      <c r="C69" s="323" t="s">
        <v>20</v>
      </c>
      <c r="D69" s="323" t="s">
        <v>31</v>
      </c>
      <c r="E69" s="323" t="s">
        <v>22</v>
      </c>
      <c r="F69" s="323" t="s">
        <v>23</v>
      </c>
      <c r="G69" s="324">
        <v>46043</v>
      </c>
      <c r="H69" s="323" t="s">
        <v>977</v>
      </c>
      <c r="I69" s="325">
        <v>23919283</v>
      </c>
      <c r="J69" s="357" t="s">
        <v>978</v>
      </c>
      <c r="K69" s="323">
        <v>71984576497</v>
      </c>
      <c r="L69" s="323">
        <v>71984576497</v>
      </c>
      <c r="M69" s="323" t="s">
        <v>70</v>
      </c>
    </row>
    <row r="70" spans="1:49" s="313" customFormat="1" ht="17.25" customHeight="1" x14ac:dyDescent="0.25">
      <c r="A70" s="323" t="s">
        <v>19</v>
      </c>
      <c r="B70" s="323" t="s">
        <v>887</v>
      </c>
      <c r="C70" s="323" t="s">
        <v>20</v>
      </c>
      <c r="D70" s="323" t="s">
        <v>44</v>
      </c>
      <c r="E70" s="323" t="s">
        <v>22</v>
      </c>
      <c r="F70" s="323" t="s">
        <v>23</v>
      </c>
      <c r="G70" s="324">
        <v>46042</v>
      </c>
      <c r="H70" s="323" t="s">
        <v>979</v>
      </c>
      <c r="I70" s="325">
        <v>25022556</v>
      </c>
      <c r="J70" s="357" t="s">
        <v>980</v>
      </c>
      <c r="K70" s="323">
        <v>71987211766</v>
      </c>
      <c r="L70" s="323">
        <v>71987211766</v>
      </c>
      <c r="M70" s="323" t="s">
        <v>70</v>
      </c>
      <c r="O70" s="313" t="s">
        <v>313</v>
      </c>
    </row>
    <row r="71" spans="1:49" s="313" customFormat="1" ht="17.25" customHeight="1" x14ac:dyDescent="0.25">
      <c r="A71" s="315" t="s">
        <v>19</v>
      </c>
      <c r="B71" s="315" t="s">
        <v>822</v>
      </c>
      <c r="C71" s="315" t="s">
        <v>20</v>
      </c>
      <c r="D71" s="315" t="s">
        <v>31</v>
      </c>
      <c r="E71" s="315" t="s">
        <v>22</v>
      </c>
      <c r="F71" s="315" t="s">
        <v>23</v>
      </c>
      <c r="G71" s="320">
        <v>46043</v>
      </c>
      <c r="H71" s="315" t="s">
        <v>981</v>
      </c>
      <c r="I71" s="321">
        <v>25061216</v>
      </c>
      <c r="J71" s="352" t="s">
        <v>982</v>
      </c>
      <c r="K71" s="315">
        <v>71987895357</v>
      </c>
      <c r="L71" s="315">
        <v>71987895357</v>
      </c>
      <c r="M71" s="315" t="s">
        <v>70</v>
      </c>
    </row>
    <row r="72" spans="1:49" s="313" customFormat="1" ht="17.25" customHeight="1" x14ac:dyDescent="0.25">
      <c r="A72" s="315" t="s">
        <v>19</v>
      </c>
      <c r="B72" s="315" t="s">
        <v>829</v>
      </c>
      <c r="C72" s="315" t="s">
        <v>20</v>
      </c>
      <c r="D72" s="315" t="s">
        <v>62</v>
      </c>
      <c r="E72" s="315" t="s">
        <v>22</v>
      </c>
      <c r="F72" s="315" t="s">
        <v>23</v>
      </c>
      <c r="G72" s="320">
        <v>46043</v>
      </c>
      <c r="H72" s="315" t="s">
        <v>983</v>
      </c>
      <c r="I72" s="321">
        <v>25061228</v>
      </c>
      <c r="J72" s="352" t="s">
        <v>984</v>
      </c>
      <c r="K72" s="315">
        <v>71992879047</v>
      </c>
      <c r="L72" s="315">
        <v>71992879047</v>
      </c>
      <c r="M72" s="315" t="s">
        <v>70</v>
      </c>
    </row>
    <row r="73" spans="1:49" s="313" customFormat="1" ht="17.25" customHeight="1" x14ac:dyDescent="0.25">
      <c r="A73" s="323" t="s">
        <v>19</v>
      </c>
      <c r="B73" s="323" t="s">
        <v>841</v>
      </c>
      <c r="C73" s="323" t="s">
        <v>20</v>
      </c>
      <c r="D73" s="323" t="s">
        <v>187</v>
      </c>
      <c r="E73" s="323" t="s">
        <v>22</v>
      </c>
      <c r="F73" s="315" t="s">
        <v>23</v>
      </c>
      <c r="G73" s="324">
        <v>46041</v>
      </c>
      <c r="H73" s="323" t="s">
        <v>985</v>
      </c>
      <c r="I73" s="325">
        <v>25060282</v>
      </c>
      <c r="J73" s="357" t="s">
        <v>986</v>
      </c>
      <c r="K73" s="323">
        <v>71984430401</v>
      </c>
      <c r="L73" s="323">
        <v>71984430401</v>
      </c>
      <c r="M73" s="323" t="s">
        <v>70</v>
      </c>
    </row>
    <row r="74" spans="1:49" s="315" customFormat="1" ht="17.25" customHeight="1" x14ac:dyDescent="0.25">
      <c r="A74" s="315" t="s">
        <v>19</v>
      </c>
      <c r="B74" s="315" t="s">
        <v>841</v>
      </c>
      <c r="C74" s="315" t="s">
        <v>950</v>
      </c>
      <c r="D74" s="315" t="s">
        <v>187</v>
      </c>
      <c r="E74" s="315" t="s">
        <v>22</v>
      </c>
      <c r="F74" s="315" t="s">
        <v>23</v>
      </c>
      <c r="G74" s="320">
        <v>46045</v>
      </c>
      <c r="H74" s="315" t="s">
        <v>987</v>
      </c>
      <c r="I74" s="321">
        <v>21840782</v>
      </c>
      <c r="J74" s="358" t="s">
        <v>988</v>
      </c>
      <c r="K74" s="373" t="s">
        <v>989</v>
      </c>
      <c r="L74" s="373" t="s">
        <v>989</v>
      </c>
      <c r="M74" s="315" t="s">
        <v>70</v>
      </c>
      <c r="O74" s="315" t="s">
        <v>990</v>
      </c>
      <c r="P74" s="335"/>
      <c r="Q74" s="335"/>
      <c r="R74" s="335"/>
      <c r="S74" s="335"/>
      <c r="T74" s="335"/>
      <c r="U74" s="335"/>
      <c r="V74" s="335"/>
      <c r="W74" s="335"/>
      <c r="X74" s="335"/>
      <c r="Y74" s="335"/>
      <c r="Z74" s="335"/>
      <c r="AA74" s="335"/>
      <c r="AB74" s="335"/>
      <c r="AC74" s="335"/>
      <c r="AD74" s="335"/>
      <c r="AE74" s="335"/>
      <c r="AF74" s="335"/>
      <c r="AG74" s="335"/>
      <c r="AH74" s="335"/>
      <c r="AI74" s="335"/>
      <c r="AJ74" s="335"/>
      <c r="AK74" s="335"/>
      <c r="AL74" s="335"/>
      <c r="AM74" s="335"/>
      <c r="AN74" s="335"/>
      <c r="AO74" s="335"/>
      <c r="AP74" s="335"/>
      <c r="AQ74" s="335"/>
      <c r="AR74" s="335"/>
      <c r="AS74" s="335"/>
      <c r="AT74" s="335"/>
      <c r="AU74" s="335"/>
      <c r="AV74" s="335"/>
    </row>
    <row r="75" spans="1:49" ht="27.75" customHeight="1" x14ac:dyDescent="0.25">
      <c r="A75" s="505" t="s">
        <v>19</v>
      </c>
      <c r="B75" s="505" t="s">
        <v>822</v>
      </c>
      <c r="C75" s="516" t="s">
        <v>20</v>
      </c>
      <c r="D75" s="512" t="s">
        <v>31</v>
      </c>
      <c r="E75" s="505" t="s">
        <v>22</v>
      </c>
      <c r="F75" s="505" t="s">
        <v>23</v>
      </c>
      <c r="G75" s="513">
        <v>46045</v>
      </c>
      <c r="H75" s="505" t="s">
        <v>991</v>
      </c>
      <c r="I75" s="514">
        <v>25061788</v>
      </c>
      <c r="J75" s="518" t="s">
        <v>992</v>
      </c>
      <c r="K75" s="505">
        <v>71989535120</v>
      </c>
      <c r="L75" s="505">
        <v>71989535120</v>
      </c>
      <c r="M75" s="505" t="s">
        <v>70</v>
      </c>
      <c r="O75" s="517" t="s">
        <v>993</v>
      </c>
      <c r="P75" s="512"/>
    </row>
    <row r="76" spans="1:49" s="313" customFormat="1" ht="17.25" customHeight="1" x14ac:dyDescent="0.25">
      <c r="A76" s="323" t="s">
        <v>19</v>
      </c>
      <c r="B76" s="323" t="s">
        <v>829</v>
      </c>
      <c r="C76" s="323" t="s">
        <v>20</v>
      </c>
      <c r="D76" s="323" t="s">
        <v>62</v>
      </c>
      <c r="E76" s="323" t="s">
        <v>22</v>
      </c>
      <c r="F76" s="323" t="s">
        <v>23</v>
      </c>
      <c r="G76" s="324">
        <v>46043</v>
      </c>
      <c r="H76" s="323" t="s">
        <v>994</v>
      </c>
      <c r="I76" s="325">
        <v>25061095</v>
      </c>
      <c r="J76" s="354" t="s">
        <v>995</v>
      </c>
      <c r="K76" s="323">
        <v>71981253630</v>
      </c>
      <c r="L76" s="323">
        <v>71981253630</v>
      </c>
      <c r="M76" s="323" t="s">
        <v>70</v>
      </c>
      <c r="P76" s="482"/>
      <c r="Q76" s="482"/>
      <c r="R76" s="482"/>
      <c r="S76" s="482"/>
      <c r="T76" s="482"/>
      <c r="U76" s="482"/>
      <c r="V76" s="482"/>
      <c r="W76" s="482"/>
      <c r="X76" s="482"/>
      <c r="Y76" s="482"/>
      <c r="Z76" s="482"/>
      <c r="AA76" s="482"/>
      <c r="AB76" s="482"/>
      <c r="AC76" s="482"/>
      <c r="AD76" s="482"/>
      <c r="AE76" s="482"/>
      <c r="AF76" s="482"/>
      <c r="AG76" s="482"/>
      <c r="AH76" s="482"/>
      <c r="AI76" s="482"/>
      <c r="AJ76" s="482"/>
      <c r="AK76" s="482"/>
      <c r="AL76" s="482"/>
      <c r="AM76" s="482"/>
      <c r="AN76" s="482"/>
      <c r="AO76" s="482"/>
      <c r="AP76" s="482"/>
      <c r="AQ76" s="482"/>
      <c r="AR76" s="482"/>
      <c r="AS76" s="482"/>
      <c r="AT76" s="482"/>
      <c r="AU76" s="482"/>
      <c r="AV76" s="482"/>
    </row>
    <row r="77" spans="1:49" ht="17.25" customHeight="1" x14ac:dyDescent="0.25">
      <c r="A77" s="516"/>
      <c r="E77" s="516"/>
      <c r="F77" s="516"/>
      <c r="G77" s="513"/>
      <c r="I77" s="514"/>
      <c r="J77" s="518"/>
    </row>
    <row r="78" spans="1:49" ht="31.5" customHeight="1" x14ac:dyDescent="0.25">
      <c r="A78" s="516" t="s">
        <v>19</v>
      </c>
      <c r="B78" s="516" t="s">
        <v>822</v>
      </c>
      <c r="C78" s="516" t="s">
        <v>20</v>
      </c>
      <c r="D78" s="519" t="s">
        <v>31</v>
      </c>
      <c r="E78" s="516" t="s">
        <v>32</v>
      </c>
      <c r="F78" s="516" t="s">
        <v>23</v>
      </c>
      <c r="G78" s="520">
        <v>46050</v>
      </c>
      <c r="H78" s="516" t="s">
        <v>996</v>
      </c>
      <c r="I78" s="521">
        <v>26062562</v>
      </c>
      <c r="J78" s="522" t="s">
        <v>997</v>
      </c>
      <c r="K78" s="516">
        <v>71991657588</v>
      </c>
      <c r="L78" s="516">
        <v>71991657588</v>
      </c>
      <c r="M78" s="505" t="s">
        <v>540</v>
      </c>
      <c r="N78" s="505" t="s">
        <v>998</v>
      </c>
      <c r="O78" s="517" t="s">
        <v>999</v>
      </c>
      <c r="P78" s="512" t="s">
        <v>1000</v>
      </c>
    </row>
    <row r="79" spans="1:49" ht="17.25" customHeight="1" x14ac:dyDescent="0.25">
      <c r="A79" s="516" t="s">
        <v>19</v>
      </c>
      <c r="B79" s="505" t="s">
        <v>829</v>
      </c>
      <c r="C79" s="516" t="s">
        <v>20</v>
      </c>
      <c r="D79" s="512" t="s">
        <v>62</v>
      </c>
      <c r="E79" s="516" t="s">
        <v>22</v>
      </c>
      <c r="F79" s="516" t="s">
        <v>23</v>
      </c>
      <c r="G79" s="513">
        <v>46050</v>
      </c>
      <c r="H79" s="505" t="s">
        <v>1001</v>
      </c>
      <c r="I79" s="514">
        <v>26062581</v>
      </c>
      <c r="J79" s="518" t="s">
        <v>1002</v>
      </c>
      <c r="K79" s="505">
        <v>71987719019</v>
      </c>
      <c r="L79" s="505">
        <v>71987719019</v>
      </c>
    </row>
    <row r="80" spans="1:49" s="523" customFormat="1" ht="17.25" customHeight="1" x14ac:dyDescent="0.25">
      <c r="A80" s="523" t="s">
        <v>19</v>
      </c>
      <c r="B80" s="523" t="s">
        <v>838</v>
      </c>
      <c r="C80" s="523" t="s">
        <v>20</v>
      </c>
      <c r="D80" s="524" t="s">
        <v>252</v>
      </c>
      <c r="E80" s="523" t="s">
        <v>22</v>
      </c>
      <c r="F80" s="523" t="s">
        <v>23</v>
      </c>
      <c r="G80" s="525">
        <v>46050</v>
      </c>
      <c r="H80" s="523" t="s">
        <v>1003</v>
      </c>
      <c r="I80" s="526">
        <v>20730248</v>
      </c>
      <c r="J80" s="523" t="s">
        <v>1004</v>
      </c>
      <c r="K80" s="523">
        <v>71993295196</v>
      </c>
      <c r="L80" s="523">
        <v>71993295196</v>
      </c>
      <c r="O80" s="527"/>
      <c r="Q80" s="528"/>
      <c r="R80" s="528"/>
      <c r="S80" s="528"/>
      <c r="T80" s="528"/>
      <c r="U80" s="528"/>
      <c r="V80" s="528"/>
      <c r="W80" s="528"/>
      <c r="X80" s="528"/>
      <c r="Y80" s="528"/>
      <c r="Z80" s="528"/>
      <c r="AA80" s="528"/>
      <c r="AB80" s="528"/>
      <c r="AC80" s="528"/>
      <c r="AD80" s="528"/>
      <c r="AE80" s="528"/>
      <c r="AF80" s="528"/>
      <c r="AG80" s="528"/>
      <c r="AH80" s="528"/>
      <c r="AI80" s="528"/>
      <c r="AJ80" s="528"/>
      <c r="AK80" s="528"/>
      <c r="AL80" s="528"/>
      <c r="AM80" s="528"/>
      <c r="AN80" s="528"/>
      <c r="AO80" s="528"/>
      <c r="AP80" s="528"/>
      <c r="AQ80" s="528"/>
      <c r="AR80" s="528"/>
      <c r="AS80" s="528"/>
      <c r="AT80" s="528"/>
      <c r="AU80" s="528"/>
      <c r="AV80" s="528"/>
      <c r="AW80" s="529"/>
    </row>
    <row r="81" spans="1:49" ht="17.25" customHeight="1" x14ac:dyDescent="0.25">
      <c r="C81" s="516" t="s">
        <v>20</v>
      </c>
      <c r="D81" s="512" t="s">
        <v>62</v>
      </c>
      <c r="E81" s="523" t="s">
        <v>22</v>
      </c>
      <c r="F81" s="523" t="s">
        <v>23</v>
      </c>
      <c r="G81" s="513">
        <v>46050</v>
      </c>
      <c r="H81" s="505" t="s">
        <v>1005</v>
      </c>
      <c r="I81" s="514">
        <v>26062705</v>
      </c>
      <c r="J81" s="518" t="s">
        <v>1006</v>
      </c>
      <c r="K81" s="505" t="s">
        <v>1007</v>
      </c>
      <c r="L81" s="505" t="s">
        <v>1007</v>
      </c>
    </row>
    <row r="82" spans="1:49" ht="17.25" customHeight="1" x14ac:dyDescent="0.25">
      <c r="C82" s="516" t="s">
        <v>20</v>
      </c>
      <c r="D82" s="512" t="s">
        <v>44</v>
      </c>
      <c r="E82" s="523" t="s">
        <v>22</v>
      </c>
      <c r="F82" s="523" t="s">
        <v>23</v>
      </c>
      <c r="G82" s="513">
        <v>46050</v>
      </c>
      <c r="H82" s="505" t="s">
        <v>1008</v>
      </c>
      <c r="I82" s="514">
        <v>26062593</v>
      </c>
      <c r="J82" s="505" t="s">
        <v>1009</v>
      </c>
      <c r="K82" s="505">
        <v>71985004672</v>
      </c>
      <c r="L82" s="505">
        <v>71991615872</v>
      </c>
    </row>
    <row r="83" spans="1:49" ht="17.25" customHeight="1" x14ac:dyDescent="0.25">
      <c r="C83" s="516" t="s">
        <v>20</v>
      </c>
      <c r="D83" s="512" t="s">
        <v>27</v>
      </c>
      <c r="E83" s="523" t="s">
        <v>22</v>
      </c>
      <c r="F83" s="523" t="s">
        <v>23</v>
      </c>
      <c r="G83" s="513">
        <v>46050</v>
      </c>
      <c r="H83" s="505" t="s">
        <v>1010</v>
      </c>
      <c r="I83" s="514">
        <v>26062567</v>
      </c>
      <c r="J83" s="505" t="s">
        <v>1011</v>
      </c>
      <c r="K83" s="505">
        <v>71981248735</v>
      </c>
      <c r="L83" s="505">
        <v>71981248735</v>
      </c>
    </row>
    <row r="84" spans="1:49" ht="17.25" customHeight="1" x14ac:dyDescent="0.25">
      <c r="A84" s="516" t="s">
        <v>19</v>
      </c>
      <c r="B84" s="516" t="s">
        <v>822</v>
      </c>
      <c r="C84" s="516" t="s">
        <v>20</v>
      </c>
      <c r="D84" s="519" t="s">
        <v>31</v>
      </c>
      <c r="E84" s="516" t="s">
        <v>22</v>
      </c>
      <c r="F84" s="516" t="s">
        <v>23</v>
      </c>
      <c r="G84" s="520">
        <v>46050</v>
      </c>
      <c r="H84" s="516" t="s">
        <v>996</v>
      </c>
      <c r="I84" s="521">
        <v>26062562</v>
      </c>
      <c r="J84" s="516" t="s">
        <v>997</v>
      </c>
      <c r="K84" s="516">
        <v>71991657588</v>
      </c>
      <c r="L84" s="516">
        <v>71991657588</v>
      </c>
      <c r="M84" s="516" t="s">
        <v>70</v>
      </c>
    </row>
    <row r="85" spans="1:49" ht="17.25" customHeight="1" x14ac:dyDescent="0.25">
      <c r="A85" s="516" t="s">
        <v>19</v>
      </c>
      <c r="B85" s="516" t="s">
        <v>822</v>
      </c>
      <c r="C85" s="516" t="s">
        <v>20</v>
      </c>
      <c r="D85" s="519" t="s">
        <v>31</v>
      </c>
      <c r="E85" s="516" t="s">
        <v>22</v>
      </c>
      <c r="F85" s="516" t="s">
        <v>23</v>
      </c>
      <c r="G85" s="520">
        <v>46051</v>
      </c>
      <c r="H85" s="516" t="s">
        <v>1012</v>
      </c>
      <c r="I85" s="516"/>
      <c r="J85" s="530" t="s">
        <v>1013</v>
      </c>
      <c r="K85" s="516" t="s">
        <v>1014</v>
      </c>
      <c r="L85" s="516" t="s">
        <v>1014</v>
      </c>
      <c r="M85" s="516" t="s">
        <v>70</v>
      </c>
      <c r="O85" s="517" t="s">
        <v>1015</v>
      </c>
      <c r="P85" s="505" t="s">
        <v>1016</v>
      </c>
    </row>
    <row r="86" spans="1:49" ht="17.25" customHeight="1" x14ac:dyDescent="0.25">
      <c r="C86" s="516" t="s">
        <v>20</v>
      </c>
      <c r="D86" s="512" t="s">
        <v>27</v>
      </c>
      <c r="E86" s="523" t="s">
        <v>22</v>
      </c>
      <c r="F86" s="523" t="s">
        <v>23</v>
      </c>
      <c r="G86" s="513">
        <v>46051</v>
      </c>
      <c r="H86" s="505" t="s">
        <v>1017</v>
      </c>
      <c r="I86" s="514">
        <v>25025958</v>
      </c>
      <c r="J86" s="518" t="s">
        <v>1018</v>
      </c>
      <c r="K86" s="505">
        <v>71999928795</v>
      </c>
      <c r="L86" s="505">
        <v>71999928795</v>
      </c>
    </row>
    <row r="87" spans="1:49" ht="17.25" customHeight="1" x14ac:dyDescent="0.25">
      <c r="A87" s="516"/>
      <c r="B87" s="516"/>
      <c r="C87" s="516" t="s">
        <v>20</v>
      </c>
      <c r="D87" s="519" t="s">
        <v>21</v>
      </c>
      <c r="E87" s="516" t="s">
        <v>22</v>
      </c>
      <c r="F87" s="516" t="s">
        <v>23</v>
      </c>
      <c r="G87" s="520">
        <v>46052</v>
      </c>
      <c r="H87" s="516" t="s">
        <v>1019</v>
      </c>
      <c r="I87" s="521">
        <v>25022211</v>
      </c>
      <c r="J87" s="530" t="s">
        <v>1020</v>
      </c>
      <c r="K87" s="516">
        <v>71991276115</v>
      </c>
      <c r="L87" s="516">
        <v>71991276115</v>
      </c>
      <c r="M87" s="516" t="s">
        <v>70</v>
      </c>
    </row>
    <row r="88" spans="1:49" ht="17.25" customHeight="1" x14ac:dyDescent="0.25">
      <c r="C88" s="516" t="s">
        <v>20</v>
      </c>
      <c r="D88" s="512" t="s">
        <v>31</v>
      </c>
      <c r="E88" s="523" t="s">
        <v>22</v>
      </c>
      <c r="F88" s="523" t="s">
        <v>23</v>
      </c>
      <c r="G88" s="513">
        <v>46051</v>
      </c>
      <c r="H88" s="505" t="s">
        <v>1021</v>
      </c>
      <c r="I88" s="514">
        <v>21821016</v>
      </c>
      <c r="J88" s="518" t="s">
        <v>1022</v>
      </c>
      <c r="K88" s="505">
        <v>71992245191</v>
      </c>
      <c r="L88" s="505">
        <v>71992245191</v>
      </c>
    </row>
    <row r="89" spans="1:49" ht="17.25" customHeight="1" x14ac:dyDescent="0.25">
      <c r="E89" s="523"/>
      <c r="F89" s="523"/>
      <c r="G89" s="513"/>
      <c r="I89" s="514"/>
    </row>
    <row r="90" spans="1:49" ht="17.25" customHeight="1" x14ac:dyDescent="0.25">
      <c r="C90" s="516" t="s">
        <v>20</v>
      </c>
      <c r="D90" s="512" t="s">
        <v>187</v>
      </c>
      <c r="E90" s="523" t="s">
        <v>22</v>
      </c>
      <c r="F90" s="523" t="s">
        <v>23</v>
      </c>
      <c r="G90" s="513">
        <v>46051</v>
      </c>
      <c r="H90" s="505" t="s">
        <v>1023</v>
      </c>
      <c r="I90" s="514">
        <v>232963281</v>
      </c>
      <c r="J90" s="518" t="s">
        <v>1024</v>
      </c>
      <c r="K90" s="505">
        <v>71987314173</v>
      </c>
      <c r="L90" s="505">
        <v>71987314173</v>
      </c>
    </row>
    <row r="91" spans="1:49" ht="17.25" customHeight="1" x14ac:dyDescent="0.25">
      <c r="A91" s="505" t="s">
        <v>19</v>
      </c>
      <c r="B91" s="505" t="s">
        <v>1025</v>
      </c>
      <c r="C91" s="516" t="s">
        <v>20</v>
      </c>
      <c r="D91" s="512" t="s">
        <v>36</v>
      </c>
      <c r="E91" s="505" t="s">
        <v>22</v>
      </c>
      <c r="F91" s="505" t="s">
        <v>23</v>
      </c>
      <c r="G91" s="513">
        <v>46052</v>
      </c>
      <c r="H91" s="505" t="s">
        <v>1026</v>
      </c>
      <c r="I91" s="514">
        <v>20725234</v>
      </c>
      <c r="J91" s="505" t="s">
        <v>1027</v>
      </c>
      <c r="L91" s="505">
        <v>71994136966</v>
      </c>
    </row>
    <row r="92" spans="1:49" ht="17.25" customHeight="1" x14ac:dyDescent="0.25">
      <c r="A92" s="516" t="s">
        <v>19</v>
      </c>
      <c r="B92" s="516" t="s">
        <v>835</v>
      </c>
      <c r="C92" s="516" t="s">
        <v>20</v>
      </c>
      <c r="D92" s="519" t="s">
        <v>40</v>
      </c>
      <c r="E92" s="516" t="s">
        <v>22</v>
      </c>
      <c r="F92" s="516" t="s">
        <v>23</v>
      </c>
      <c r="G92" s="520">
        <v>46052</v>
      </c>
      <c r="H92" s="516" t="s">
        <v>1028</v>
      </c>
      <c r="I92" s="521">
        <v>232986352</v>
      </c>
      <c r="J92" s="516" t="s">
        <v>1029</v>
      </c>
      <c r="K92" s="516">
        <v>71983829377</v>
      </c>
      <c r="L92" s="516">
        <v>71983829377</v>
      </c>
      <c r="M92" s="516" t="s">
        <v>182</v>
      </c>
    </row>
    <row r="93" spans="1:49" ht="17.25" customHeight="1" x14ac:dyDescent="0.25">
      <c r="A93" s="505" t="s">
        <v>19</v>
      </c>
      <c r="B93" s="505" t="s">
        <v>887</v>
      </c>
      <c r="C93" s="516" t="s">
        <v>20</v>
      </c>
      <c r="D93" s="512" t="s">
        <v>44</v>
      </c>
      <c r="E93" s="505" t="s">
        <v>22</v>
      </c>
      <c r="F93" s="505" t="s">
        <v>23</v>
      </c>
      <c r="G93" s="513">
        <v>46050</v>
      </c>
      <c r="H93" s="505" t="s">
        <v>1008</v>
      </c>
      <c r="I93" s="514">
        <v>26062593</v>
      </c>
      <c r="J93" s="505" t="s">
        <v>1009</v>
      </c>
      <c r="K93" s="505">
        <v>71985004672</v>
      </c>
      <c r="L93" s="505">
        <v>71991615872</v>
      </c>
      <c r="M93" s="505" t="s">
        <v>70</v>
      </c>
    </row>
    <row r="94" spans="1:49" s="531" customFormat="1" ht="17.25" customHeight="1" x14ac:dyDescent="0.25">
      <c r="A94" s="531" t="s">
        <v>19</v>
      </c>
      <c r="B94" s="531" t="s">
        <v>822</v>
      </c>
      <c r="C94" s="531" t="s">
        <v>882</v>
      </c>
      <c r="D94" s="532" t="s">
        <v>31</v>
      </c>
      <c r="E94" s="531" t="s">
        <v>32</v>
      </c>
      <c r="F94" s="531" t="s">
        <v>23</v>
      </c>
      <c r="G94" s="533">
        <v>46050</v>
      </c>
      <c r="H94" s="531" t="s">
        <v>996</v>
      </c>
      <c r="I94" s="534">
        <v>26062562</v>
      </c>
      <c r="J94" s="531" t="s">
        <v>997</v>
      </c>
      <c r="K94" s="531">
        <v>71991657588</v>
      </c>
      <c r="L94" s="531">
        <v>71991657588</v>
      </c>
      <c r="O94" s="517" t="s">
        <v>1030</v>
      </c>
      <c r="Q94" s="536"/>
      <c r="R94" s="536"/>
      <c r="S94" s="536"/>
      <c r="T94" s="536"/>
      <c r="U94" s="536"/>
      <c r="V94" s="536"/>
      <c r="W94" s="536"/>
      <c r="X94" s="536"/>
      <c r="Y94" s="536"/>
      <c r="Z94" s="536"/>
      <c r="AA94" s="536"/>
      <c r="AB94" s="536"/>
      <c r="AC94" s="536"/>
      <c r="AD94" s="536"/>
      <c r="AE94" s="536"/>
      <c r="AF94" s="536"/>
      <c r="AG94" s="536"/>
      <c r="AH94" s="536"/>
      <c r="AI94" s="536"/>
      <c r="AJ94" s="536"/>
      <c r="AK94" s="536"/>
      <c r="AL94" s="536"/>
      <c r="AM94" s="536"/>
      <c r="AN94" s="536"/>
      <c r="AO94" s="536"/>
      <c r="AP94" s="536"/>
      <c r="AQ94" s="536"/>
      <c r="AR94" s="536"/>
      <c r="AS94" s="536"/>
      <c r="AT94" s="536"/>
      <c r="AU94" s="536"/>
      <c r="AV94" s="536"/>
      <c r="AW94" s="537"/>
    </row>
    <row r="95" spans="1:49" ht="17.25" customHeight="1" x14ac:dyDescent="0.25">
      <c r="A95" s="505" t="s">
        <v>19</v>
      </c>
      <c r="B95" s="505" t="s">
        <v>822</v>
      </c>
      <c r="C95" s="505" t="s">
        <v>20</v>
      </c>
      <c r="D95" s="512" t="s">
        <v>31</v>
      </c>
      <c r="E95" s="505" t="s">
        <v>32</v>
      </c>
      <c r="F95" s="505" t="s">
        <v>23</v>
      </c>
      <c r="G95" s="513">
        <v>46051</v>
      </c>
      <c r="H95" s="505" t="s">
        <v>1021</v>
      </c>
      <c r="I95" s="514">
        <v>21821016</v>
      </c>
      <c r="J95" s="505" t="s">
        <v>1022</v>
      </c>
      <c r="K95" s="505">
        <v>71992245191</v>
      </c>
      <c r="L95" s="505">
        <v>71992245191</v>
      </c>
      <c r="O95" s="517" t="s">
        <v>381</v>
      </c>
      <c r="P95" s="505" t="s">
        <v>1016</v>
      </c>
    </row>
    <row r="96" spans="1:49" s="531" customFormat="1" ht="17.25" customHeight="1" x14ac:dyDescent="0.25">
      <c r="A96" s="531" t="s">
        <v>19</v>
      </c>
      <c r="B96" s="531" t="s">
        <v>838</v>
      </c>
      <c r="C96" s="531" t="s">
        <v>20</v>
      </c>
      <c r="D96" s="532" t="s">
        <v>252</v>
      </c>
      <c r="E96" s="531" t="s">
        <v>22</v>
      </c>
      <c r="F96" s="531" t="s">
        <v>23</v>
      </c>
      <c r="G96" s="533">
        <v>46052</v>
      </c>
      <c r="H96" s="531" t="s">
        <v>1031</v>
      </c>
      <c r="I96" s="534">
        <v>25058417</v>
      </c>
      <c r="J96" s="531" t="s">
        <v>1032</v>
      </c>
      <c r="K96" s="531">
        <v>71986802224</v>
      </c>
      <c r="L96" s="531">
        <v>71986802224</v>
      </c>
      <c r="M96" s="531" t="s">
        <v>498</v>
      </c>
      <c r="O96" s="535"/>
      <c r="Q96" s="536"/>
      <c r="R96" s="536"/>
      <c r="S96" s="536"/>
      <c r="T96" s="536"/>
      <c r="U96" s="536"/>
      <c r="V96" s="536"/>
      <c r="W96" s="536"/>
      <c r="X96" s="536"/>
      <c r="Y96" s="536"/>
      <c r="Z96" s="536"/>
      <c r="AA96" s="536"/>
      <c r="AB96" s="536"/>
      <c r="AC96" s="536"/>
      <c r="AD96" s="536"/>
      <c r="AE96" s="536"/>
      <c r="AF96" s="536"/>
      <c r="AG96" s="536"/>
      <c r="AH96" s="536"/>
      <c r="AI96" s="536"/>
      <c r="AJ96" s="536"/>
      <c r="AK96" s="536"/>
      <c r="AL96" s="536"/>
      <c r="AM96" s="536"/>
      <c r="AN96" s="536"/>
      <c r="AO96" s="536"/>
      <c r="AP96" s="536"/>
      <c r="AQ96" s="536"/>
      <c r="AR96" s="536"/>
      <c r="AS96" s="536"/>
      <c r="AT96" s="536"/>
      <c r="AU96" s="536"/>
      <c r="AV96" s="536"/>
      <c r="AW96" s="537"/>
    </row>
    <row r="97" spans="1:49" s="531" customFormat="1" ht="17.25" customHeight="1" x14ac:dyDescent="0.25">
      <c r="A97" s="531" t="s">
        <v>19</v>
      </c>
      <c r="B97" s="531" t="s">
        <v>829</v>
      </c>
      <c r="C97" s="531" t="s">
        <v>20</v>
      </c>
      <c r="D97" s="532" t="s">
        <v>62</v>
      </c>
      <c r="E97" s="531" t="s">
        <v>22</v>
      </c>
      <c r="F97" s="531" t="s">
        <v>23</v>
      </c>
      <c r="G97" s="533">
        <v>46051</v>
      </c>
      <c r="H97" s="531" t="s">
        <v>1005</v>
      </c>
      <c r="I97" s="534">
        <v>26062705</v>
      </c>
      <c r="J97" s="531" t="s">
        <v>1006</v>
      </c>
      <c r="K97" s="531">
        <v>71983970886</v>
      </c>
      <c r="L97" s="531">
        <v>71983970886</v>
      </c>
      <c r="M97" s="531" t="s">
        <v>498</v>
      </c>
      <c r="O97" s="535"/>
      <c r="Q97" s="536"/>
      <c r="R97" s="536"/>
      <c r="S97" s="536"/>
      <c r="T97" s="536"/>
      <c r="U97" s="536"/>
      <c r="V97" s="536"/>
      <c r="W97" s="536"/>
      <c r="X97" s="536"/>
      <c r="Y97" s="536"/>
      <c r="Z97" s="536"/>
      <c r="AA97" s="536"/>
      <c r="AB97" s="536"/>
      <c r="AC97" s="536"/>
      <c r="AD97" s="536"/>
      <c r="AE97" s="536"/>
      <c r="AF97" s="536"/>
      <c r="AG97" s="536"/>
      <c r="AH97" s="536"/>
      <c r="AI97" s="536"/>
      <c r="AJ97" s="536"/>
      <c r="AK97" s="536"/>
      <c r="AL97" s="536"/>
      <c r="AM97" s="536"/>
      <c r="AN97" s="536"/>
      <c r="AO97" s="536"/>
      <c r="AP97" s="536"/>
      <c r="AQ97" s="536"/>
      <c r="AR97" s="536"/>
      <c r="AS97" s="536"/>
      <c r="AT97" s="536"/>
      <c r="AU97" s="536"/>
      <c r="AV97" s="536"/>
      <c r="AW97" s="537"/>
    </row>
    <row r="98" spans="1:49" s="516" customFormat="1" ht="17.25" customHeight="1" x14ac:dyDescent="0.25">
      <c r="A98" s="516" t="s">
        <v>19</v>
      </c>
      <c r="B98" s="516" t="s">
        <v>887</v>
      </c>
      <c r="C98" s="516" t="s">
        <v>20</v>
      </c>
      <c r="D98" s="519" t="s">
        <v>44</v>
      </c>
      <c r="E98" s="516" t="s">
        <v>22</v>
      </c>
      <c r="F98" s="516" t="s">
        <v>23</v>
      </c>
      <c r="G98" s="520">
        <v>46050</v>
      </c>
      <c r="H98" s="516" t="s">
        <v>1008</v>
      </c>
      <c r="I98" s="521">
        <v>26062593</v>
      </c>
      <c r="J98" s="516" t="s">
        <v>1009</v>
      </c>
      <c r="K98" s="516">
        <v>71985004672</v>
      </c>
      <c r="L98" s="516">
        <v>71991615872</v>
      </c>
      <c r="M98" s="516" t="s">
        <v>498</v>
      </c>
      <c r="O98" s="568" t="s">
        <v>1033</v>
      </c>
      <c r="P98" s="516" t="s">
        <v>1034</v>
      </c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69"/>
      <c r="AB98" s="569"/>
      <c r="AC98" s="569"/>
      <c r="AD98" s="569"/>
      <c r="AE98" s="569"/>
      <c r="AF98" s="569"/>
      <c r="AG98" s="569"/>
      <c r="AH98" s="569"/>
      <c r="AI98" s="569"/>
      <c r="AJ98" s="569"/>
      <c r="AK98" s="569"/>
      <c r="AL98" s="569"/>
      <c r="AM98" s="569"/>
      <c r="AN98" s="569"/>
      <c r="AO98" s="569"/>
      <c r="AP98" s="569"/>
      <c r="AQ98" s="569"/>
      <c r="AR98" s="569"/>
      <c r="AS98" s="569"/>
      <c r="AT98" s="569"/>
      <c r="AU98" s="569"/>
      <c r="AV98" s="569"/>
      <c r="AW98" s="570"/>
    </row>
  </sheetData>
  <autoFilter ref="A1:AW98" xr:uid="{0FF927CD-3E61-4A26-96CB-8C26A63B2348}"/>
  <conditionalFormatting sqref="H1">
    <cfRule type="duplicateValues" dxfId="1" priority="1"/>
  </conditionalFormatting>
  <hyperlinks>
    <hyperlink ref="J2" r:id="rId1" xr:uid="{83840D28-3813-4ED6-A9CD-A83925F55363}"/>
    <hyperlink ref="J3" r:id="rId2" xr:uid="{CF6F31B3-C098-4202-972C-2DE5BB76D8F2}"/>
    <hyperlink ref="J12" r:id="rId3" xr:uid="{72495A08-178E-4FA8-812B-13B80F0F5DD1}"/>
    <hyperlink ref="J18" r:id="rId4" xr:uid="{C3C3A64C-9330-42AA-85AC-F1841B33AAE3}"/>
    <hyperlink ref="J14" r:id="rId5" xr:uid="{53FD8CC4-D6BF-4A37-A25C-331DC4A92A23}"/>
    <hyperlink ref="J19" r:id="rId6" xr:uid="{BCAC88B2-5453-4839-BC3D-0893AAFE2100}"/>
    <hyperlink ref="J20" r:id="rId7" xr:uid="{FE2C4B5C-5E32-4692-9D3E-DD2553FAAEC9}"/>
    <hyperlink ref="J35" r:id="rId8" xr:uid="{537C8775-DE10-413E-8BD3-758E1F64DB01}"/>
    <hyperlink ref="J37" r:id="rId9" xr:uid="{6FC6A04D-BCDC-479C-A4E3-100BE7F307B8}"/>
    <hyperlink ref="J38" r:id="rId10" xr:uid="{D55519FE-FB03-4C96-868F-FC46AF7321E2}"/>
    <hyperlink ref="J48" r:id="rId11" xr:uid="{D4677778-EBC4-4C9D-BE8E-A012DE0CF39E}"/>
    <hyperlink ref="J46" r:id="rId12" xr:uid="{0F7FB89E-CE2B-4F9F-9DDD-BA6DE5EB452D}"/>
    <hyperlink ref="J45" r:id="rId13" xr:uid="{C0C15578-033F-4C6C-9A28-9DA8F14F1B58}"/>
    <hyperlink ref="J53" r:id="rId14" xr:uid="{9D71D3F9-AC17-4789-8C20-AEBFA2F6B69D}"/>
    <hyperlink ref="J44" r:id="rId15" xr:uid="{30BB024A-AD09-4C1A-914F-5F3F960065DA}"/>
    <hyperlink ref="J54" r:id="rId16" xr:uid="{667D81BE-78D3-4378-AC1C-2F5F32203BB4}"/>
    <hyperlink ref="J64" r:id="rId17" xr:uid="{5D0A22E1-814E-4073-9279-CB33A9B3D33E}"/>
    <hyperlink ref="J65" r:id="rId18" xr:uid="{649F1A9C-245F-4451-8F46-2210F2142802}"/>
    <hyperlink ref="J66" r:id="rId19" xr:uid="{85C4FF55-CC59-4DB1-83CF-DA4E2CA315D3}"/>
    <hyperlink ref="J67" r:id="rId20" xr:uid="{DCB6D88E-0F8F-4E5F-819B-DFAEB771F371}"/>
    <hyperlink ref="J68" r:id="rId21" xr:uid="{9F36C8E4-E1CF-4D3F-B8E0-560BCFF4C61B}"/>
    <hyperlink ref="J58" r:id="rId22" xr:uid="{BE0062D8-BCAF-4871-BF96-D3F6E1F49E30}"/>
    <hyperlink ref="J59" r:id="rId23" xr:uid="{5984D441-03FB-4B2A-A539-0FA453C315BA}"/>
    <hyperlink ref="J62" r:id="rId24" xr:uid="{439290FB-B948-42C5-9675-8F7F311DAA60}"/>
    <hyperlink ref="J61" r:id="rId25" xr:uid="{6A33AFC0-0A7A-4515-A447-A5EB5AF985D6}"/>
    <hyperlink ref="J69" r:id="rId26" xr:uid="{A2B7C62B-9AED-41F2-BD26-8B1B9F23F132}"/>
    <hyperlink ref="J60" r:id="rId27" xr:uid="{C72C8D34-1708-44E6-B054-811DD2D9241A}"/>
    <hyperlink ref="J70" r:id="rId28" xr:uid="{6D4483FB-DB8E-40E2-A901-A32ED6C3E6E6}"/>
    <hyperlink ref="J71" r:id="rId29" xr:uid="{77D0DD2D-2620-4CDD-AB76-1C4EACB29D7E}"/>
    <hyperlink ref="J72" r:id="rId30" xr:uid="{D650F0B4-6745-4289-ACC6-98EC3F86902C}"/>
    <hyperlink ref="J73" r:id="rId31" xr:uid="{5375B1CD-3974-4CB9-91C0-2D3678482D6C}"/>
    <hyperlink ref="J74" r:id="rId32" xr:uid="{18F8EB1B-38C1-4889-A93F-4EBE0A9A81EC}"/>
    <hyperlink ref="J75" r:id="rId33" xr:uid="{4DB1BEE5-C92C-4BCD-B9BC-BC6D70467DF1}"/>
    <hyperlink ref="J76" r:id="rId34" xr:uid="{E9F0D4D6-76FD-424E-B33F-55BFA6C29D7E}"/>
    <hyperlink ref="J21" r:id="rId35" xr:uid="{A04EC231-25BC-40B9-913A-1BAA357653FB}"/>
    <hyperlink ref="J26" r:id="rId36" xr:uid="{DD4BA979-1A42-4F4A-9523-7D451B329B54}"/>
    <hyperlink ref="J81" r:id="rId37" xr:uid="{6F9802A7-D997-4A54-A87E-5FCA4ADDE2E8}"/>
    <hyperlink ref="J85" r:id="rId38" xr:uid="{560DCA0D-F079-43AA-9EF7-99D47F3ED8C4}"/>
    <hyperlink ref="J86" r:id="rId39" xr:uid="{5215CA45-5A30-44C6-AD0F-6C42AA00943A}"/>
    <hyperlink ref="J87" r:id="rId40" xr:uid="{B8CFFCFB-C629-4A35-9BAE-024CFD64FB99}"/>
    <hyperlink ref="J88" r:id="rId41" xr:uid="{58D8F42E-7CD6-48D8-851B-EEFB8F86367A}"/>
    <hyperlink ref="J90" r:id="rId42" xr:uid="{202851C9-F484-4611-BF0D-5E2D0BD77DB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20CB411-3BC1-4D92-A6D7-7D1258F655DA}">
          <x14:formula1>
            <xm:f>Listas!$A$10:$A$16</xm:f>
          </x14:formula1>
          <xm:sqref>N1</xm:sqref>
        </x14:dataValidation>
        <x14:dataValidation type="list" allowBlank="1" showInputMessage="1" showErrorMessage="1" xr:uid="{5AB0544B-FD38-4178-87ED-584E31EACACE}">
          <x14:formula1>
            <xm:f>Listas!$A$2:$A$6</xm:f>
          </x14:formula1>
          <xm:sqref>C1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0EEC-6152-4BA1-873F-C254B949C45F}">
  <sheetPr>
    <pageSetUpPr fitToPage="1"/>
  </sheetPr>
  <dimension ref="A1:Q16"/>
  <sheetViews>
    <sheetView showGridLines="0" topLeftCell="B1" zoomScale="85" zoomScaleNormal="85" workbookViewId="0">
      <selection activeCell="C6" sqref="C6"/>
    </sheetView>
  </sheetViews>
  <sheetFormatPr defaultColWidth="9.140625" defaultRowHeight="15.75" x14ac:dyDescent="0.25"/>
  <cols>
    <col min="1" max="1" width="25.140625" style="4" hidden="1" customWidth="1"/>
    <col min="2" max="2" width="27" style="26" customWidth="1"/>
    <col min="3" max="3" width="8.42578125" style="3" customWidth="1"/>
    <col min="4" max="4" width="6.140625" style="3" customWidth="1"/>
    <col min="5" max="5" width="6.85546875" style="1" customWidth="1"/>
    <col min="6" max="6" width="10.140625" style="1" customWidth="1"/>
    <col min="7" max="7" width="10.140625" style="267" customWidth="1"/>
    <col min="8" max="8" width="6" style="2" customWidth="1"/>
    <col min="9" max="9" width="6.85546875" style="2" customWidth="1"/>
    <col min="10" max="10" width="7.5703125" style="2" customWidth="1"/>
    <col min="11" max="12" width="7.140625" style="2" customWidth="1"/>
    <col min="13" max="13" width="6.7109375" style="2" customWidth="1"/>
    <col min="14" max="14" width="6.5703125" style="2" customWidth="1"/>
    <col min="15" max="15" width="10.85546875" style="4" customWidth="1"/>
    <col min="16" max="16" width="7.85546875" style="4" customWidth="1"/>
    <col min="17" max="17" width="16.42578125" style="2" customWidth="1"/>
    <col min="18" max="16384" width="9.140625" style="2"/>
  </cols>
  <sheetData>
    <row r="1" spans="1:17" ht="51" customHeight="1" x14ac:dyDescent="0.25">
      <c r="A1" s="581" t="s">
        <v>1035</v>
      </c>
      <c r="B1" s="584" t="s">
        <v>1036</v>
      </c>
      <c r="C1" s="584" t="s">
        <v>1037</v>
      </c>
      <c r="D1" s="585" t="s">
        <v>1038</v>
      </c>
      <c r="E1" s="585"/>
      <c r="F1" s="585"/>
      <c r="G1" s="587" t="s">
        <v>1039</v>
      </c>
      <c r="H1" s="588"/>
      <c r="I1" s="588"/>
      <c r="J1" s="588"/>
      <c r="K1" s="588"/>
      <c r="L1" s="588"/>
      <c r="M1" s="588"/>
      <c r="N1" s="588"/>
      <c r="O1" s="588"/>
      <c r="P1" s="589"/>
    </row>
    <row r="2" spans="1:17" ht="32.450000000000003" customHeight="1" x14ac:dyDescent="0.25">
      <c r="A2" s="582"/>
      <c r="B2" s="584"/>
      <c r="C2" s="584"/>
      <c r="D2" s="590" t="s">
        <v>1040</v>
      </c>
      <c r="E2" s="590" t="s">
        <v>1041</v>
      </c>
      <c r="F2" s="590" t="s">
        <v>1042</v>
      </c>
      <c r="G2" s="592" t="s">
        <v>1043</v>
      </c>
      <c r="H2" s="592"/>
      <c r="I2" s="592"/>
      <c r="J2" s="592"/>
      <c r="K2" s="591" t="s">
        <v>1044</v>
      </c>
      <c r="L2" s="591"/>
      <c r="M2" s="591"/>
      <c r="N2" s="591"/>
      <c r="O2" s="586" t="s">
        <v>1045</v>
      </c>
      <c r="P2" s="586" t="s">
        <v>1046</v>
      </c>
    </row>
    <row r="3" spans="1:17" s="6" customFormat="1" ht="48" thickBot="1" x14ac:dyDescent="0.3">
      <c r="A3" s="583"/>
      <c r="B3" s="584"/>
      <c r="C3" s="584"/>
      <c r="D3" s="590"/>
      <c r="E3" s="590"/>
      <c r="F3" s="590"/>
      <c r="G3" s="266" t="s">
        <v>1047</v>
      </c>
      <c r="H3" s="195" t="s">
        <v>1048</v>
      </c>
      <c r="I3" s="195" t="s">
        <v>1049</v>
      </c>
      <c r="J3" s="276" t="s">
        <v>1050</v>
      </c>
      <c r="K3" s="196" t="s">
        <v>1051</v>
      </c>
      <c r="L3" s="196" t="s">
        <v>1048</v>
      </c>
      <c r="M3" s="196" t="s">
        <v>1052</v>
      </c>
      <c r="N3" s="196" t="s">
        <v>1053</v>
      </c>
      <c r="O3" s="586"/>
      <c r="P3" s="586"/>
    </row>
    <row r="4" spans="1:17" s="25" customFormat="1" ht="20.100000000000001" customHeight="1" x14ac:dyDescent="0.25">
      <c r="A4" s="206" t="s">
        <v>1054</v>
      </c>
      <c r="B4" s="197" t="s">
        <v>1055</v>
      </c>
      <c r="C4" s="192" t="s">
        <v>1056</v>
      </c>
      <c r="D4" s="193">
        <v>30</v>
      </c>
      <c r="E4" s="193">
        <v>10</v>
      </c>
      <c r="F4" s="193">
        <v>20</v>
      </c>
      <c r="G4" s="268">
        <v>1</v>
      </c>
      <c r="H4" s="269">
        <v>8</v>
      </c>
      <c r="I4" s="274">
        <f t="shared" ref="I4:I13" si="0">G4+H4</f>
        <v>9</v>
      </c>
      <c r="J4" s="278">
        <f>F4-I4</f>
        <v>11</v>
      </c>
      <c r="K4" s="275"/>
      <c r="L4" s="207"/>
      <c r="M4" s="207"/>
      <c r="N4" s="207"/>
      <c r="O4" s="298"/>
      <c r="P4" s="194"/>
      <c r="Q4" s="25" t="s">
        <v>32</v>
      </c>
    </row>
    <row r="5" spans="1:17" s="25" customFormat="1" ht="20.100000000000001" customHeight="1" x14ac:dyDescent="0.25">
      <c r="A5" s="206" t="s">
        <v>1054</v>
      </c>
      <c r="B5" s="283" t="s">
        <v>1057</v>
      </c>
      <c r="C5" s="284" t="s">
        <v>1058</v>
      </c>
      <c r="D5" s="285">
        <v>40</v>
      </c>
      <c r="E5" s="285">
        <v>2</v>
      </c>
      <c r="F5" s="285">
        <v>38</v>
      </c>
      <c r="G5" s="286">
        <v>0</v>
      </c>
      <c r="H5" s="287">
        <v>34</v>
      </c>
      <c r="I5" s="288">
        <f t="shared" si="0"/>
        <v>34</v>
      </c>
      <c r="J5" s="289">
        <f>F5-I5</f>
        <v>4</v>
      </c>
      <c r="K5" s="270"/>
      <c r="L5" s="207"/>
      <c r="M5" s="207"/>
      <c r="N5" s="207"/>
      <c r="O5" s="194"/>
      <c r="P5" s="194"/>
    </row>
    <row r="6" spans="1:17" s="25" customFormat="1" ht="20.100000000000001" customHeight="1" x14ac:dyDescent="0.25">
      <c r="A6" s="206" t="s">
        <v>1054</v>
      </c>
      <c r="B6" s="283" t="s">
        <v>1059</v>
      </c>
      <c r="C6" s="284" t="s">
        <v>1058</v>
      </c>
      <c r="D6" s="285">
        <v>42</v>
      </c>
      <c r="E6" s="285">
        <v>2</v>
      </c>
      <c r="F6" s="285">
        <v>40</v>
      </c>
      <c r="G6" s="286">
        <v>0</v>
      </c>
      <c r="H6" s="287">
        <v>40</v>
      </c>
      <c r="I6" s="288">
        <f t="shared" si="0"/>
        <v>40</v>
      </c>
      <c r="J6" s="289">
        <f>F6-I6</f>
        <v>0</v>
      </c>
      <c r="K6" s="296"/>
      <c r="L6" s="297"/>
      <c r="M6" s="297"/>
      <c r="N6" s="297"/>
      <c r="O6" s="299"/>
      <c r="P6" s="299"/>
    </row>
    <row r="7" spans="1:17" s="25" customFormat="1" ht="20.100000000000001" customHeight="1" x14ac:dyDescent="0.25">
      <c r="A7" s="206" t="s">
        <v>1054</v>
      </c>
      <c r="B7" s="197" t="s">
        <v>1060</v>
      </c>
      <c r="C7" s="192" t="s">
        <v>1058</v>
      </c>
      <c r="D7" s="193">
        <v>42</v>
      </c>
      <c r="E7" s="193">
        <v>10</v>
      </c>
      <c r="F7" s="193">
        <v>32</v>
      </c>
      <c r="G7" s="268">
        <v>0</v>
      </c>
      <c r="H7" s="269">
        <v>20</v>
      </c>
      <c r="I7" s="274">
        <f t="shared" si="0"/>
        <v>20</v>
      </c>
      <c r="J7" s="278">
        <f t="shared" ref="J7:J13" si="1">F7-I7</f>
        <v>12</v>
      </c>
      <c r="K7" s="275"/>
      <c r="L7" s="207"/>
      <c r="M7" s="207"/>
      <c r="N7" s="207"/>
      <c r="O7" s="194"/>
      <c r="P7" s="194"/>
    </row>
    <row r="8" spans="1:17" s="25" customFormat="1" ht="20.100000000000001" customHeight="1" x14ac:dyDescent="0.25">
      <c r="A8" s="206" t="s">
        <v>1054</v>
      </c>
      <c r="B8" s="283" t="s">
        <v>1061</v>
      </c>
      <c r="C8" s="491" t="s">
        <v>1058</v>
      </c>
      <c r="D8" s="492">
        <v>42</v>
      </c>
      <c r="E8" s="492">
        <v>5</v>
      </c>
      <c r="F8" s="492">
        <v>37</v>
      </c>
      <c r="G8" s="493">
        <v>0</v>
      </c>
      <c r="H8" s="494">
        <v>37</v>
      </c>
      <c r="I8" s="495">
        <f t="shared" si="0"/>
        <v>37</v>
      </c>
      <c r="J8" s="289">
        <f t="shared" si="1"/>
        <v>0</v>
      </c>
      <c r="K8" s="275"/>
      <c r="L8" s="207"/>
      <c r="M8" s="207"/>
      <c r="N8" s="207"/>
      <c r="O8" s="194"/>
      <c r="P8" s="194"/>
    </row>
    <row r="9" spans="1:17" s="25" customFormat="1" ht="20.100000000000001" customHeight="1" x14ac:dyDescent="0.25">
      <c r="A9" s="206" t="s">
        <v>1054</v>
      </c>
      <c r="B9" s="283" t="s">
        <v>1062</v>
      </c>
      <c r="C9" s="284" t="s">
        <v>1058</v>
      </c>
      <c r="D9" s="285">
        <v>42</v>
      </c>
      <c r="E9" s="285">
        <v>5</v>
      </c>
      <c r="F9" s="285">
        <v>37</v>
      </c>
      <c r="G9" s="286">
        <v>0</v>
      </c>
      <c r="H9" s="287">
        <v>37</v>
      </c>
      <c r="I9" s="288">
        <f t="shared" si="0"/>
        <v>37</v>
      </c>
      <c r="J9" s="289">
        <f t="shared" si="1"/>
        <v>0</v>
      </c>
      <c r="K9" s="275"/>
      <c r="L9" s="207"/>
      <c r="M9" s="207"/>
      <c r="N9" s="207"/>
      <c r="O9" s="194"/>
      <c r="P9" s="194"/>
    </row>
    <row r="10" spans="1:17" s="369" customFormat="1" ht="20.100000000000001" customHeight="1" x14ac:dyDescent="0.25">
      <c r="A10" s="496" t="s">
        <v>1054</v>
      </c>
      <c r="B10" s="283" t="s">
        <v>1063</v>
      </c>
      <c r="C10" s="491" t="s">
        <v>1058</v>
      </c>
      <c r="D10" s="492">
        <v>42</v>
      </c>
      <c r="E10" s="492">
        <v>5</v>
      </c>
      <c r="F10" s="492">
        <v>37</v>
      </c>
      <c r="G10" s="493">
        <v>1</v>
      </c>
      <c r="H10" s="494">
        <v>37</v>
      </c>
      <c r="I10" s="495">
        <f t="shared" si="0"/>
        <v>38</v>
      </c>
      <c r="J10" s="289">
        <f t="shared" si="1"/>
        <v>-1</v>
      </c>
      <c r="K10" s="497"/>
      <c r="L10" s="498"/>
      <c r="M10" s="498"/>
      <c r="N10" s="498"/>
      <c r="O10" s="297"/>
      <c r="P10" s="297"/>
    </row>
    <row r="11" spans="1:17" s="25" customFormat="1" ht="20.100000000000001" customHeight="1" x14ac:dyDescent="0.25">
      <c r="A11" s="206" t="s">
        <v>1054</v>
      </c>
      <c r="B11" s="197" t="s">
        <v>1064</v>
      </c>
      <c r="C11" s="192" t="s">
        <v>1058</v>
      </c>
      <c r="D11" s="193">
        <v>40</v>
      </c>
      <c r="E11" s="193">
        <v>10</v>
      </c>
      <c r="F11" s="193">
        <v>30</v>
      </c>
      <c r="G11" s="268">
        <v>1</v>
      </c>
      <c r="H11" s="269">
        <v>13</v>
      </c>
      <c r="I11" s="274">
        <f t="shared" si="0"/>
        <v>14</v>
      </c>
      <c r="J11" s="278">
        <f t="shared" si="1"/>
        <v>16</v>
      </c>
      <c r="K11" s="275"/>
      <c r="L11" s="207"/>
      <c r="M11" s="207"/>
      <c r="N11" s="207"/>
      <c r="O11" s="194"/>
      <c r="P11" s="194"/>
    </row>
    <row r="12" spans="1:17" s="25" customFormat="1" ht="20.100000000000001" customHeight="1" x14ac:dyDescent="0.25">
      <c r="A12" s="206" t="s">
        <v>1054</v>
      </c>
      <c r="B12" s="283" t="s">
        <v>1065</v>
      </c>
      <c r="C12" s="284" t="s">
        <v>1058</v>
      </c>
      <c r="D12" s="285">
        <v>42</v>
      </c>
      <c r="E12" s="285">
        <v>5</v>
      </c>
      <c r="F12" s="285">
        <v>37</v>
      </c>
      <c r="G12" s="286">
        <v>0</v>
      </c>
      <c r="H12" s="287">
        <v>38</v>
      </c>
      <c r="I12" s="288">
        <f t="shared" si="0"/>
        <v>38</v>
      </c>
      <c r="J12" s="289">
        <f>F12-I12</f>
        <v>-1</v>
      </c>
      <c r="K12" s="275"/>
      <c r="L12" s="207"/>
      <c r="M12" s="207"/>
      <c r="N12" s="207"/>
      <c r="O12" s="194"/>
      <c r="P12" s="194"/>
    </row>
    <row r="13" spans="1:17" s="369" customFormat="1" ht="20.100000000000001" customHeight="1" x14ac:dyDescent="0.25">
      <c r="A13" s="366" t="s">
        <v>1054</v>
      </c>
      <c r="B13" s="361" t="s">
        <v>1066</v>
      </c>
      <c r="C13" s="362" t="s">
        <v>1058</v>
      </c>
      <c r="D13" s="363">
        <v>40</v>
      </c>
      <c r="E13" s="363">
        <v>10</v>
      </c>
      <c r="F13" s="363">
        <v>30</v>
      </c>
      <c r="G13" s="364">
        <v>0</v>
      </c>
      <c r="H13" s="287">
        <v>30</v>
      </c>
      <c r="I13" s="365">
        <f t="shared" si="0"/>
        <v>30</v>
      </c>
      <c r="J13" s="289">
        <f t="shared" si="1"/>
        <v>0</v>
      </c>
      <c r="K13" s="367"/>
      <c r="L13" s="368"/>
      <c r="M13" s="368"/>
      <c r="N13" s="368"/>
      <c r="O13" s="368"/>
      <c r="P13" s="368"/>
    </row>
    <row r="14" spans="1:17" x14ac:dyDescent="0.25">
      <c r="B14" s="271" t="s">
        <v>1040</v>
      </c>
      <c r="C14" s="271"/>
      <c r="D14" s="272">
        <f t="shared" ref="D14:I14" si="2">SUM(D4:D13)</f>
        <v>402</v>
      </c>
      <c r="E14" s="272">
        <f t="shared" si="2"/>
        <v>64</v>
      </c>
      <c r="F14" s="272">
        <f t="shared" si="2"/>
        <v>338</v>
      </c>
      <c r="G14" s="273">
        <f t="shared" si="2"/>
        <v>3</v>
      </c>
      <c r="H14" s="273" t="s">
        <v>385</v>
      </c>
      <c r="I14" s="273">
        <f t="shared" si="2"/>
        <v>297</v>
      </c>
      <c r="J14" s="277">
        <f t="shared" ref="J14" si="3">SUM(J4:J13)</f>
        <v>41</v>
      </c>
      <c r="K14" s="272">
        <f>SUM(K4:K13)</f>
        <v>0</v>
      </c>
      <c r="L14" s="272">
        <f>SUM(L4:L13)</f>
        <v>0</v>
      </c>
      <c r="M14" s="281"/>
      <c r="N14" s="272"/>
      <c r="O14" s="272">
        <f>SUM(O4:O13)</f>
        <v>0</v>
      </c>
      <c r="P14" s="282">
        <f>SUM(P4:P13)</f>
        <v>0</v>
      </c>
    </row>
    <row r="15" spans="1:17" x14ac:dyDescent="0.25">
      <c r="L15" s="208"/>
      <c r="N15" s="8"/>
      <c r="O15" s="279"/>
    </row>
    <row r="16" spans="1:17" x14ac:dyDescent="0.25">
      <c r="L16" s="208"/>
      <c r="N16" s="8"/>
      <c r="O16" s="280"/>
    </row>
  </sheetData>
  <autoFilter ref="A1:P13" xr:uid="{AEE8AC0D-E982-49BE-B797-D1F60A590AAF}">
    <filterColumn colId="3" showButton="0"/>
    <filterColumn colId="4" showButton="0"/>
    <filterColumn colId="9" showButton="0"/>
    <filterColumn colId="13" showButton="0"/>
    <filterColumn colId="14" showButton="0"/>
  </autoFilter>
  <mergeCells count="12">
    <mergeCell ref="A1:A3"/>
    <mergeCell ref="B1:B3"/>
    <mergeCell ref="D1:F1"/>
    <mergeCell ref="P2:P3"/>
    <mergeCell ref="G1:P1"/>
    <mergeCell ref="O2:O3"/>
    <mergeCell ref="D2:D3"/>
    <mergeCell ref="E2:E3"/>
    <mergeCell ref="F2:F3"/>
    <mergeCell ref="K2:N2"/>
    <mergeCell ref="G2:J2"/>
    <mergeCell ref="C1:C3"/>
  </mergeCells>
  <phoneticPr fontId="7" type="noConversion"/>
  <pageMargins left="0.51181102362204722" right="0.51181102362204722" top="0.39370078740157483" bottom="0.39370078740157483" header="0.31496062992125984" footer="0.31496062992125984"/>
  <pageSetup paperSize="9" scale="6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DC89-09E9-4D25-8105-BB8450FA9AE6}">
  <dimension ref="A3:D22"/>
  <sheetViews>
    <sheetView workbookViewId="0">
      <selection activeCell="B11" sqref="B11"/>
    </sheetView>
  </sheetViews>
  <sheetFormatPr defaultRowHeight="15" x14ac:dyDescent="0.25"/>
  <cols>
    <col min="1" max="1" width="35.85546875" bestFit="1" customWidth="1"/>
    <col min="2" max="2" width="18.42578125" bestFit="1" customWidth="1"/>
    <col min="3" max="3" width="11" bestFit="1" customWidth="1"/>
    <col min="4" max="4" width="10" bestFit="1" customWidth="1"/>
    <col min="5" max="8" width="18.42578125" bestFit="1" customWidth="1"/>
    <col min="9" max="9" width="10" bestFit="1" customWidth="1"/>
  </cols>
  <sheetData>
    <row r="3" spans="1:4" x14ac:dyDescent="0.25">
      <c r="A3" s="204" t="s">
        <v>1067</v>
      </c>
      <c r="B3" s="204" t="s">
        <v>1068</v>
      </c>
    </row>
    <row r="4" spans="1:4" x14ac:dyDescent="0.25">
      <c r="A4" s="204" t="s">
        <v>1069</v>
      </c>
      <c r="B4" t="s">
        <v>2</v>
      </c>
      <c r="C4" t="s">
        <v>20</v>
      </c>
      <c r="D4" t="s">
        <v>1070</v>
      </c>
    </row>
    <row r="5" spans="1:4" x14ac:dyDescent="0.25">
      <c r="A5" s="205" t="s">
        <v>31</v>
      </c>
      <c r="C5">
        <v>1</v>
      </c>
      <c r="D5">
        <v>1</v>
      </c>
    </row>
    <row r="6" spans="1:4" x14ac:dyDescent="0.25">
      <c r="A6" s="205" t="s">
        <v>48</v>
      </c>
      <c r="B6">
        <v>4</v>
      </c>
      <c r="C6">
        <v>12</v>
      </c>
      <c r="D6">
        <v>16</v>
      </c>
    </row>
    <row r="7" spans="1:4" x14ac:dyDescent="0.25">
      <c r="A7" s="205" t="s">
        <v>36</v>
      </c>
      <c r="B7">
        <v>1</v>
      </c>
      <c r="C7">
        <v>26</v>
      </c>
      <c r="D7">
        <v>27</v>
      </c>
    </row>
    <row r="8" spans="1:4" x14ac:dyDescent="0.25">
      <c r="A8" s="205" t="s">
        <v>21</v>
      </c>
      <c r="B8">
        <v>1</v>
      </c>
      <c r="C8">
        <v>6</v>
      </c>
      <c r="D8">
        <v>7</v>
      </c>
    </row>
    <row r="9" spans="1:4" x14ac:dyDescent="0.25">
      <c r="A9" s="205" t="s">
        <v>44</v>
      </c>
      <c r="B9">
        <v>1</v>
      </c>
      <c r="C9">
        <v>6</v>
      </c>
      <c r="D9">
        <v>7</v>
      </c>
    </row>
    <row r="10" spans="1:4" x14ac:dyDescent="0.25">
      <c r="A10" s="205" t="s">
        <v>40</v>
      </c>
      <c r="C10">
        <v>12</v>
      </c>
      <c r="D10">
        <v>12</v>
      </c>
    </row>
    <row r="11" spans="1:4" x14ac:dyDescent="0.25">
      <c r="A11" s="205" t="s">
        <v>27</v>
      </c>
      <c r="B11">
        <v>1</v>
      </c>
      <c r="C11">
        <v>1</v>
      </c>
      <c r="D11">
        <v>2</v>
      </c>
    </row>
    <row r="12" spans="1:4" x14ac:dyDescent="0.25">
      <c r="A12" s="205" t="s">
        <v>62</v>
      </c>
      <c r="C12">
        <v>3</v>
      </c>
      <c r="D12">
        <v>3</v>
      </c>
    </row>
    <row r="13" spans="1:4" x14ac:dyDescent="0.25">
      <c r="A13" s="205" t="s">
        <v>187</v>
      </c>
      <c r="C13">
        <v>1</v>
      </c>
      <c r="D13">
        <v>1</v>
      </c>
    </row>
    <row r="14" spans="1:4" x14ac:dyDescent="0.25">
      <c r="A14" s="205" t="s">
        <v>1070</v>
      </c>
      <c r="B14">
        <v>8</v>
      </c>
      <c r="C14">
        <v>68</v>
      </c>
      <c r="D14">
        <v>76</v>
      </c>
    </row>
    <row r="16" spans="1:4" x14ac:dyDescent="0.25">
      <c r="A16" s="205" t="s">
        <v>31</v>
      </c>
      <c r="B16">
        <v>1</v>
      </c>
    </row>
    <row r="17" spans="1:2" x14ac:dyDescent="0.25">
      <c r="A17" s="205" t="s">
        <v>48</v>
      </c>
      <c r="B17">
        <v>2</v>
      </c>
    </row>
    <row r="18" spans="1:2" x14ac:dyDescent="0.25">
      <c r="A18" s="205" t="s">
        <v>36</v>
      </c>
      <c r="B18">
        <v>3</v>
      </c>
    </row>
    <row r="19" spans="1:2" x14ac:dyDescent="0.25">
      <c r="A19" s="205" t="s">
        <v>21</v>
      </c>
      <c r="B19">
        <v>1</v>
      </c>
    </row>
    <row r="20" spans="1:2" x14ac:dyDescent="0.25">
      <c r="A20" s="205" t="s">
        <v>44</v>
      </c>
      <c r="B20">
        <v>1</v>
      </c>
    </row>
    <row r="21" spans="1:2" x14ac:dyDescent="0.25">
      <c r="A21" s="205" t="s">
        <v>40</v>
      </c>
      <c r="B21">
        <v>1</v>
      </c>
    </row>
    <row r="22" spans="1:2" x14ac:dyDescent="0.25">
      <c r="A22" s="205" t="s">
        <v>27</v>
      </c>
      <c r="B22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6940-B1E5-43A7-9B57-4A964D6AE0C4}">
  <dimension ref="A1:DI35"/>
  <sheetViews>
    <sheetView workbookViewId="0">
      <pane ySplit="1" topLeftCell="A42" activePane="bottomLeft" state="frozen"/>
      <selection pane="bottomLeft" activeCell="L42" sqref="L42"/>
    </sheetView>
  </sheetViews>
  <sheetFormatPr defaultColWidth="10.140625" defaultRowHeight="22.5" customHeight="1" x14ac:dyDescent="0.25"/>
  <cols>
    <col min="1" max="1" width="7.5703125" style="291" customWidth="1"/>
    <col min="2" max="2" width="14.140625" style="291" customWidth="1"/>
    <col min="3" max="3" width="18.7109375" style="291" customWidth="1"/>
    <col min="4" max="4" width="15.28515625" style="295" customWidth="1"/>
    <col min="5" max="5" width="10.140625" style="291"/>
    <col min="6" max="6" width="10.5703125" style="291" bestFit="1" customWidth="1"/>
    <col min="7" max="7" width="19" style="291" customWidth="1"/>
    <col min="8" max="8" width="38.5703125" style="291" customWidth="1"/>
    <col min="9" max="9" width="11" style="291" bestFit="1" customWidth="1"/>
    <col min="10" max="10" width="31.85546875" style="291" customWidth="1"/>
    <col min="11" max="11" width="18.85546875" style="291" customWidth="1"/>
    <col min="12" max="12" width="15.42578125" style="291" customWidth="1"/>
    <col min="13" max="13" width="13.5703125" style="291" customWidth="1"/>
    <col min="14" max="14" width="38.85546875" style="291" customWidth="1"/>
    <col min="15" max="15" width="36.42578125" style="291" customWidth="1"/>
    <col min="16" max="19" width="10.140625" style="291"/>
    <col min="20" max="20" width="17" style="291" customWidth="1"/>
    <col min="21" max="16384" width="10.140625" style="291"/>
  </cols>
  <sheetData>
    <row r="1" spans="1:113" s="290" customFormat="1" ht="22.5" customHeight="1" x14ac:dyDescent="0.25">
      <c r="A1" s="290" t="s">
        <v>1071</v>
      </c>
      <c r="B1" s="290" t="s">
        <v>1072</v>
      </c>
      <c r="C1" s="290" t="s">
        <v>1073</v>
      </c>
      <c r="D1" s="294" t="s">
        <v>1036</v>
      </c>
      <c r="E1" s="290" t="s">
        <v>1037</v>
      </c>
      <c r="F1" s="290" t="s">
        <v>1074</v>
      </c>
      <c r="G1" s="290" t="s">
        <v>1075</v>
      </c>
      <c r="H1" s="290" t="s">
        <v>1076</v>
      </c>
      <c r="I1" s="290" t="s">
        <v>8</v>
      </c>
      <c r="J1" s="290" t="s">
        <v>1077</v>
      </c>
      <c r="K1" s="290" t="s">
        <v>1078</v>
      </c>
      <c r="L1" s="290" t="s">
        <v>1079</v>
      </c>
      <c r="M1" s="290" t="s">
        <v>1080</v>
      </c>
      <c r="N1" s="290" t="s">
        <v>1081</v>
      </c>
      <c r="O1" s="290" t="s">
        <v>17</v>
      </c>
    </row>
    <row r="2" spans="1:113" ht="22.5" customHeight="1" x14ac:dyDescent="0.25">
      <c r="A2" s="291">
        <v>20261</v>
      </c>
      <c r="B2" s="291" t="s">
        <v>1082</v>
      </c>
      <c r="C2" s="291" t="s">
        <v>20</v>
      </c>
      <c r="D2" s="295" t="s">
        <v>1083</v>
      </c>
      <c r="E2" s="291" t="s">
        <v>1084</v>
      </c>
      <c r="F2" s="291" t="s">
        <v>23</v>
      </c>
      <c r="G2" s="292">
        <v>46034</v>
      </c>
      <c r="H2" s="291" t="s">
        <v>1085</v>
      </c>
      <c r="I2" s="293">
        <v>23934589</v>
      </c>
      <c r="J2" s="291" t="s">
        <v>1086</v>
      </c>
      <c r="K2" s="291">
        <v>71981904382</v>
      </c>
      <c r="L2" s="291">
        <v>71981904382</v>
      </c>
      <c r="M2" s="291" t="s">
        <v>448</v>
      </c>
    </row>
    <row r="3" spans="1:113" ht="22.5" customHeight="1" x14ac:dyDescent="0.25">
      <c r="A3" s="291">
        <v>20261</v>
      </c>
      <c r="B3" s="291" t="s">
        <v>1082</v>
      </c>
      <c r="C3" s="291" t="s">
        <v>20</v>
      </c>
      <c r="D3" s="295" t="s">
        <v>1083</v>
      </c>
      <c r="E3" s="291" t="s">
        <v>1084</v>
      </c>
      <c r="F3" s="291" t="s">
        <v>23</v>
      </c>
      <c r="G3" s="292">
        <v>46034</v>
      </c>
      <c r="H3" s="291" t="s">
        <v>1087</v>
      </c>
      <c r="I3" s="293">
        <v>23977062</v>
      </c>
      <c r="J3" s="291" t="s">
        <v>1088</v>
      </c>
      <c r="K3" s="291">
        <v>71981576268</v>
      </c>
      <c r="L3" s="291">
        <v>71981576268</v>
      </c>
      <c r="M3" s="291" t="s">
        <v>448</v>
      </c>
    </row>
    <row r="4" spans="1:113" s="302" customFormat="1" ht="22.5" customHeight="1" x14ac:dyDescent="0.25">
      <c r="A4" s="308">
        <v>20261</v>
      </c>
      <c r="B4" s="308" t="s">
        <v>1082</v>
      </c>
      <c r="C4" s="291" t="s">
        <v>20</v>
      </c>
      <c r="D4" s="309" t="s">
        <v>1083</v>
      </c>
      <c r="E4" s="308" t="s">
        <v>1084</v>
      </c>
      <c r="F4" s="308" t="s">
        <v>23</v>
      </c>
      <c r="G4" s="310">
        <v>46034</v>
      </c>
      <c r="H4" s="308" t="s">
        <v>1089</v>
      </c>
      <c r="I4" s="311">
        <v>25021429</v>
      </c>
      <c r="J4" s="312" t="s">
        <v>1090</v>
      </c>
      <c r="K4" s="308">
        <v>71991752499</v>
      </c>
      <c r="L4" s="308">
        <v>71991752499</v>
      </c>
      <c r="M4" s="308" t="s">
        <v>448</v>
      </c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308"/>
      <c r="BS4" s="308"/>
      <c r="BT4" s="308"/>
      <c r="BU4" s="308"/>
      <c r="BV4" s="308"/>
      <c r="BW4" s="308"/>
      <c r="BX4" s="308"/>
      <c r="BY4" s="308"/>
      <c r="BZ4" s="308"/>
      <c r="CA4" s="308"/>
      <c r="CB4" s="308"/>
      <c r="CC4" s="308"/>
      <c r="CD4" s="308"/>
      <c r="CE4" s="308"/>
      <c r="CF4" s="308"/>
      <c r="CG4" s="308"/>
      <c r="CH4" s="308"/>
      <c r="CI4" s="308"/>
      <c r="CJ4" s="308"/>
      <c r="CK4" s="308"/>
      <c r="CL4" s="308"/>
      <c r="CM4" s="308"/>
      <c r="CN4" s="308"/>
      <c r="CO4" s="308"/>
      <c r="CP4" s="308"/>
      <c r="CQ4" s="308"/>
      <c r="CR4" s="308"/>
      <c r="CS4" s="308"/>
      <c r="CT4" s="308"/>
      <c r="CU4" s="308"/>
      <c r="CV4" s="308"/>
      <c r="CW4" s="308"/>
      <c r="CX4" s="308"/>
      <c r="CY4" s="308"/>
      <c r="CZ4" s="308"/>
      <c r="DA4" s="308"/>
      <c r="DB4" s="308"/>
      <c r="DC4" s="308"/>
      <c r="DD4" s="308"/>
      <c r="DE4" s="308"/>
      <c r="DF4" s="308"/>
      <c r="DG4" s="308"/>
      <c r="DH4" s="308"/>
      <c r="DI4" s="308"/>
    </row>
    <row r="5" spans="1:113" ht="22.5" customHeight="1" x14ac:dyDescent="0.25">
      <c r="A5" s="291">
        <v>20261</v>
      </c>
      <c r="B5" s="291" t="s">
        <v>1082</v>
      </c>
      <c r="C5" s="291" t="s">
        <v>20</v>
      </c>
      <c r="D5" s="295" t="s">
        <v>1083</v>
      </c>
      <c r="E5" s="291" t="s">
        <v>1084</v>
      </c>
      <c r="F5" s="291" t="s">
        <v>23</v>
      </c>
      <c r="G5" s="292">
        <v>46035</v>
      </c>
      <c r="H5" s="291" t="s">
        <v>1091</v>
      </c>
      <c r="I5" s="293">
        <v>25047351</v>
      </c>
      <c r="J5" s="291" t="s">
        <v>1092</v>
      </c>
      <c r="K5" s="291">
        <v>71991569586</v>
      </c>
      <c r="L5" s="291">
        <v>71991569586</v>
      </c>
      <c r="M5" s="291" t="s">
        <v>448</v>
      </c>
    </row>
    <row r="6" spans="1:113" ht="22.5" customHeight="1" x14ac:dyDescent="0.25">
      <c r="A6" s="291">
        <v>20261</v>
      </c>
      <c r="B6" s="291" t="s">
        <v>1082</v>
      </c>
      <c r="C6" s="291" t="s">
        <v>20</v>
      </c>
      <c r="D6" s="295" t="s">
        <v>1083</v>
      </c>
      <c r="E6" s="291" t="s">
        <v>1084</v>
      </c>
      <c r="F6" s="291" t="s">
        <v>23</v>
      </c>
      <c r="G6" s="292">
        <v>46034</v>
      </c>
      <c r="H6" s="291" t="s">
        <v>1093</v>
      </c>
      <c r="I6" s="293">
        <v>25056434</v>
      </c>
      <c r="J6" s="291" t="s">
        <v>1094</v>
      </c>
      <c r="K6" s="291">
        <v>71997029737</v>
      </c>
      <c r="L6" s="291">
        <v>71997029737</v>
      </c>
      <c r="M6" s="291" t="s">
        <v>448</v>
      </c>
    </row>
    <row r="7" spans="1:113" ht="22.5" customHeight="1" x14ac:dyDescent="0.25">
      <c r="A7" s="291">
        <v>20261</v>
      </c>
      <c r="B7" s="291" t="s">
        <v>1082</v>
      </c>
      <c r="C7" s="291" t="s">
        <v>20</v>
      </c>
      <c r="D7" s="295" t="s">
        <v>1083</v>
      </c>
      <c r="E7" s="291" t="s">
        <v>1084</v>
      </c>
      <c r="F7" s="291" t="s">
        <v>23</v>
      </c>
      <c r="G7" s="292">
        <v>46034</v>
      </c>
      <c r="H7" s="291" t="s">
        <v>1095</v>
      </c>
      <c r="I7" s="293">
        <v>25057784</v>
      </c>
      <c r="J7" s="291" t="s">
        <v>1096</v>
      </c>
      <c r="K7" s="291">
        <v>71991885641</v>
      </c>
      <c r="L7" s="291">
        <v>71991885641</v>
      </c>
      <c r="M7" s="291" t="s">
        <v>448</v>
      </c>
    </row>
    <row r="8" spans="1:113" ht="22.5" customHeight="1" x14ac:dyDescent="0.25">
      <c r="A8" s="291">
        <v>20261</v>
      </c>
      <c r="B8" s="291" t="s">
        <v>1082</v>
      </c>
      <c r="C8" s="291" t="s">
        <v>20</v>
      </c>
      <c r="D8" s="295" t="s">
        <v>1083</v>
      </c>
      <c r="E8" s="291" t="s">
        <v>1084</v>
      </c>
      <c r="F8" s="291" t="s">
        <v>23</v>
      </c>
      <c r="G8" s="292">
        <v>46035</v>
      </c>
      <c r="H8" s="291" t="s">
        <v>1097</v>
      </c>
      <c r="I8" s="293">
        <v>25057992</v>
      </c>
      <c r="J8" s="291" t="s">
        <v>1098</v>
      </c>
      <c r="K8" s="291">
        <v>71981961362</v>
      </c>
      <c r="L8" s="291">
        <v>71981961362</v>
      </c>
      <c r="M8" s="291" t="s">
        <v>448</v>
      </c>
      <c r="N8" s="291" t="s">
        <v>499</v>
      </c>
      <c r="O8" s="295" t="s">
        <v>1099</v>
      </c>
      <c r="U8" s="291" t="s">
        <v>1100</v>
      </c>
      <c r="V8" s="301"/>
    </row>
    <row r="9" spans="1:113" ht="22.5" customHeight="1" x14ac:dyDescent="0.25">
      <c r="A9" s="291">
        <v>20261</v>
      </c>
      <c r="B9" s="291" t="s">
        <v>1082</v>
      </c>
      <c r="C9" s="291" t="s">
        <v>20</v>
      </c>
      <c r="D9" s="295" t="s">
        <v>1083</v>
      </c>
      <c r="E9" s="291" t="s">
        <v>1084</v>
      </c>
      <c r="F9" s="291" t="s">
        <v>23</v>
      </c>
      <c r="G9" s="292">
        <v>46035</v>
      </c>
      <c r="H9" s="291" t="s">
        <v>1101</v>
      </c>
      <c r="I9" s="293">
        <v>232002003</v>
      </c>
      <c r="J9" s="291" t="s">
        <v>1102</v>
      </c>
      <c r="K9" s="291">
        <v>71999228524</v>
      </c>
      <c r="L9" s="291">
        <v>71999228524</v>
      </c>
      <c r="M9" s="291" t="s">
        <v>219</v>
      </c>
    </row>
    <row r="10" spans="1:113" ht="22.5" customHeight="1" x14ac:dyDescent="0.25">
      <c r="A10" s="291">
        <v>20261</v>
      </c>
      <c r="B10" s="291" t="s">
        <v>1082</v>
      </c>
      <c r="C10" s="291" t="s">
        <v>20</v>
      </c>
      <c r="D10" s="295" t="s">
        <v>1083</v>
      </c>
      <c r="E10" s="291" t="s">
        <v>1084</v>
      </c>
      <c r="F10" s="291" t="s">
        <v>23</v>
      </c>
      <c r="G10" s="292">
        <v>46036</v>
      </c>
      <c r="H10" s="291" t="s">
        <v>1103</v>
      </c>
      <c r="I10" s="293">
        <v>21900262</v>
      </c>
      <c r="J10" s="291" t="s">
        <v>1104</v>
      </c>
      <c r="K10" s="291">
        <v>71988360630</v>
      </c>
      <c r="L10" s="291">
        <v>71988360630</v>
      </c>
    </row>
    <row r="11" spans="1:113" ht="22.5" customHeight="1" x14ac:dyDescent="0.25">
      <c r="A11" s="291">
        <v>20261</v>
      </c>
      <c r="B11" s="291" t="s">
        <v>1082</v>
      </c>
      <c r="C11" s="291" t="s">
        <v>20</v>
      </c>
      <c r="D11" s="295" t="s">
        <v>1083</v>
      </c>
      <c r="E11" s="291" t="s">
        <v>1084</v>
      </c>
      <c r="F11" s="291" t="s">
        <v>23</v>
      </c>
      <c r="G11" s="292">
        <v>46036</v>
      </c>
      <c r="H11" s="291" t="s">
        <v>1105</v>
      </c>
      <c r="I11" s="293">
        <v>25058380</v>
      </c>
      <c r="J11" s="291" t="s">
        <v>1106</v>
      </c>
      <c r="K11" s="291">
        <v>71988200474</v>
      </c>
      <c r="L11" s="291">
        <v>71988200474</v>
      </c>
      <c r="M11" s="291" t="s">
        <v>219</v>
      </c>
    </row>
    <row r="12" spans="1:113" ht="22.5" customHeight="1" x14ac:dyDescent="0.25">
      <c r="A12" s="291">
        <v>20261</v>
      </c>
      <c r="B12" s="291" t="s">
        <v>1082</v>
      </c>
      <c r="C12" s="291" t="s">
        <v>20</v>
      </c>
      <c r="D12" s="295" t="s">
        <v>1083</v>
      </c>
      <c r="E12" s="291" t="s">
        <v>1084</v>
      </c>
      <c r="F12" s="291" t="s">
        <v>23</v>
      </c>
      <c r="G12" s="292">
        <v>46035</v>
      </c>
      <c r="H12" s="291" t="s">
        <v>1107</v>
      </c>
      <c r="I12" s="293">
        <v>25058255</v>
      </c>
      <c r="J12" s="291" t="s">
        <v>1108</v>
      </c>
      <c r="K12" s="291">
        <v>71987215812</v>
      </c>
      <c r="L12" s="291">
        <v>71987215812</v>
      </c>
      <c r="M12" s="291" t="s">
        <v>219</v>
      </c>
    </row>
    <row r="13" spans="1:113" ht="22.5" customHeight="1" x14ac:dyDescent="0.25">
      <c r="A13" s="291">
        <v>20261</v>
      </c>
      <c r="B13" s="291" t="s">
        <v>1082</v>
      </c>
      <c r="C13" s="291" t="s">
        <v>20</v>
      </c>
      <c r="D13" s="295" t="s">
        <v>1083</v>
      </c>
      <c r="E13" s="291" t="s">
        <v>1084</v>
      </c>
      <c r="F13" s="291" t="s">
        <v>23</v>
      </c>
      <c r="G13" s="292">
        <v>46035</v>
      </c>
      <c r="H13" s="291" t="s">
        <v>1109</v>
      </c>
      <c r="I13" s="293">
        <v>25058204</v>
      </c>
      <c r="J13" s="291" t="s">
        <v>1110</v>
      </c>
      <c r="K13" s="291">
        <v>71985135234</v>
      </c>
      <c r="L13" s="291">
        <v>71985135234</v>
      </c>
      <c r="M13" s="291" t="s">
        <v>219</v>
      </c>
    </row>
    <row r="14" spans="1:113" ht="22.5" customHeight="1" x14ac:dyDescent="0.25">
      <c r="A14" s="291">
        <v>20261</v>
      </c>
      <c r="B14" s="291" t="s">
        <v>1082</v>
      </c>
      <c r="C14" s="291" t="s">
        <v>20</v>
      </c>
      <c r="D14" s="295" t="s">
        <v>1083</v>
      </c>
      <c r="E14" s="291" t="s">
        <v>1084</v>
      </c>
      <c r="F14" s="291" t="s">
        <v>23</v>
      </c>
      <c r="G14" s="292">
        <v>46035</v>
      </c>
      <c r="H14" s="291" t="s">
        <v>1111</v>
      </c>
      <c r="I14" s="293">
        <v>25058090</v>
      </c>
      <c r="J14" s="291" t="s">
        <v>1112</v>
      </c>
      <c r="K14" s="291">
        <v>71996958802</v>
      </c>
      <c r="L14" s="291">
        <v>71996958802</v>
      </c>
      <c r="M14" s="291" t="s">
        <v>219</v>
      </c>
    </row>
    <row r="15" spans="1:113" ht="22.5" customHeight="1" x14ac:dyDescent="0.25">
      <c r="A15" s="291">
        <v>20261</v>
      </c>
      <c r="B15" s="291" t="s">
        <v>1082</v>
      </c>
      <c r="C15" s="291" t="s">
        <v>20</v>
      </c>
      <c r="D15" s="295" t="s">
        <v>1083</v>
      </c>
      <c r="E15" s="291" t="s">
        <v>1084</v>
      </c>
      <c r="F15" s="291" t="s">
        <v>23</v>
      </c>
      <c r="G15" s="292">
        <v>46035</v>
      </c>
      <c r="H15" s="291" t="s">
        <v>1113</v>
      </c>
      <c r="I15" s="293">
        <v>25058233</v>
      </c>
      <c r="J15" s="291" t="s">
        <v>1114</v>
      </c>
      <c r="K15" s="291">
        <v>71991612017</v>
      </c>
      <c r="L15" s="291">
        <v>71991612017</v>
      </c>
      <c r="M15" s="291" t="s">
        <v>219</v>
      </c>
    </row>
    <row r="16" spans="1:113" ht="22.5" customHeight="1" x14ac:dyDescent="0.25">
      <c r="A16" s="291">
        <v>20261</v>
      </c>
      <c r="B16" s="291" t="s">
        <v>1082</v>
      </c>
      <c r="C16" s="291" t="s">
        <v>20</v>
      </c>
      <c r="D16" s="295" t="s">
        <v>1083</v>
      </c>
      <c r="E16" s="291" t="s">
        <v>1084</v>
      </c>
      <c r="F16" s="291" t="s">
        <v>23</v>
      </c>
      <c r="G16" s="292">
        <v>46036</v>
      </c>
      <c r="H16" s="291" t="s">
        <v>1115</v>
      </c>
      <c r="I16" s="293">
        <v>25054247</v>
      </c>
      <c r="J16" s="300" t="s">
        <v>1116</v>
      </c>
      <c r="K16" s="291" t="s">
        <v>1117</v>
      </c>
      <c r="L16" s="291" t="s">
        <v>1117</v>
      </c>
      <c r="M16" s="291" t="s">
        <v>219</v>
      </c>
    </row>
    <row r="17" spans="1:17" ht="22.5" customHeight="1" x14ac:dyDescent="0.25">
      <c r="A17" s="291">
        <v>20261</v>
      </c>
      <c r="B17" s="291" t="s">
        <v>1082</v>
      </c>
      <c r="C17" s="291" t="s">
        <v>950</v>
      </c>
      <c r="D17" s="295" t="s">
        <v>1083</v>
      </c>
      <c r="E17" s="291" t="s">
        <v>1084</v>
      </c>
      <c r="F17" s="291" t="s">
        <v>23</v>
      </c>
      <c r="G17" s="292">
        <v>46036</v>
      </c>
      <c r="H17" s="291" t="s">
        <v>1118</v>
      </c>
      <c r="I17" s="293">
        <v>25058531</v>
      </c>
      <c r="J17" s="300" t="s">
        <v>1119</v>
      </c>
      <c r="K17" s="291" t="s">
        <v>1120</v>
      </c>
      <c r="L17" s="291" t="s">
        <v>1120</v>
      </c>
      <c r="M17" s="291" t="s">
        <v>70</v>
      </c>
      <c r="N17" s="295"/>
      <c r="O17" s="295"/>
      <c r="P17" s="295"/>
    </row>
    <row r="18" spans="1:17" ht="22.5" customHeight="1" x14ac:dyDescent="0.25">
      <c r="A18" s="291">
        <v>20261</v>
      </c>
      <c r="B18" s="291" t="s">
        <v>1082</v>
      </c>
      <c r="C18" s="291" t="s">
        <v>20</v>
      </c>
      <c r="D18" s="295" t="s">
        <v>1083</v>
      </c>
      <c r="E18" s="291" t="s">
        <v>1084</v>
      </c>
      <c r="F18" s="291" t="s">
        <v>23</v>
      </c>
      <c r="G18" s="292">
        <v>46036</v>
      </c>
      <c r="H18" s="291" t="s">
        <v>1121</v>
      </c>
      <c r="I18" s="293">
        <v>232968456</v>
      </c>
      <c r="J18" s="300" t="s">
        <v>1122</v>
      </c>
      <c r="K18" s="291" t="s">
        <v>1123</v>
      </c>
      <c r="L18" s="291" t="s">
        <v>1123</v>
      </c>
      <c r="M18" s="291" t="s">
        <v>219</v>
      </c>
    </row>
    <row r="19" spans="1:17" ht="29.25" customHeight="1" x14ac:dyDescent="0.25">
      <c r="A19" s="291">
        <v>20261</v>
      </c>
      <c r="B19" s="291" t="s">
        <v>1082</v>
      </c>
      <c r="C19" s="291" t="s">
        <v>20</v>
      </c>
      <c r="D19" s="295" t="s">
        <v>1083</v>
      </c>
      <c r="E19" s="291" t="s">
        <v>1084</v>
      </c>
      <c r="F19" s="291" t="s">
        <v>23</v>
      </c>
      <c r="G19" s="292">
        <v>46036</v>
      </c>
      <c r="H19" s="291" t="s">
        <v>1124</v>
      </c>
      <c r="I19" s="293">
        <v>25058662</v>
      </c>
      <c r="J19" s="291" t="s">
        <v>1125</v>
      </c>
      <c r="K19" s="291">
        <v>71999007710</v>
      </c>
      <c r="L19" s="291">
        <v>71999007710</v>
      </c>
      <c r="M19" s="291" t="s">
        <v>70</v>
      </c>
      <c r="O19" s="295"/>
      <c r="P19" s="295"/>
      <c r="Q19" s="295"/>
    </row>
    <row r="20" spans="1:17" ht="22.5" customHeight="1" x14ac:dyDescent="0.25">
      <c r="A20" s="291">
        <v>20261</v>
      </c>
      <c r="B20" s="291" t="s">
        <v>1082</v>
      </c>
      <c r="C20" s="291" t="s">
        <v>20</v>
      </c>
      <c r="D20" s="295" t="s">
        <v>1083</v>
      </c>
      <c r="E20" s="291" t="s">
        <v>1084</v>
      </c>
      <c r="F20" s="291" t="s">
        <v>23</v>
      </c>
      <c r="G20" s="292">
        <v>46036</v>
      </c>
      <c r="H20" s="291" t="s">
        <v>1126</v>
      </c>
      <c r="I20" s="293">
        <v>25047628</v>
      </c>
      <c r="J20" s="291" t="s">
        <v>1127</v>
      </c>
      <c r="K20" s="291">
        <v>71991815828</v>
      </c>
      <c r="L20" s="291">
        <v>71991815828</v>
      </c>
      <c r="M20" s="291" t="s">
        <v>70</v>
      </c>
    </row>
    <row r="21" spans="1:17" ht="22.5" customHeight="1" x14ac:dyDescent="0.25">
      <c r="A21" s="291">
        <v>20261</v>
      </c>
      <c r="B21" s="291" t="s">
        <v>1082</v>
      </c>
      <c r="C21" s="291" t="s">
        <v>20</v>
      </c>
      <c r="D21" s="295" t="s">
        <v>1083</v>
      </c>
      <c r="E21" s="291" t="s">
        <v>1084</v>
      </c>
      <c r="F21" s="291" t="s">
        <v>23</v>
      </c>
      <c r="G21" s="292">
        <v>46036</v>
      </c>
      <c r="H21" s="291" t="s">
        <v>1128</v>
      </c>
      <c r="I21" s="293">
        <v>25058701</v>
      </c>
      <c r="J21" s="291" t="s">
        <v>1129</v>
      </c>
      <c r="K21" s="291">
        <v>71986074848</v>
      </c>
      <c r="L21" s="291">
        <v>71986074848</v>
      </c>
      <c r="M21" s="291" t="s">
        <v>70</v>
      </c>
    </row>
    <row r="22" spans="1:17" ht="22.5" customHeight="1" x14ac:dyDescent="0.25">
      <c r="A22" s="291">
        <v>20261</v>
      </c>
      <c r="B22" s="291" t="s">
        <v>1082</v>
      </c>
      <c r="C22" s="291" t="s">
        <v>20</v>
      </c>
      <c r="D22" s="295" t="s">
        <v>1083</v>
      </c>
      <c r="E22" s="291" t="s">
        <v>1084</v>
      </c>
      <c r="F22" s="291" t="s">
        <v>23</v>
      </c>
      <c r="G22" s="292">
        <v>46037</v>
      </c>
      <c r="H22" s="291" t="s">
        <v>1130</v>
      </c>
      <c r="I22" s="293">
        <v>232983978</v>
      </c>
      <c r="J22" s="291" t="s">
        <v>1131</v>
      </c>
      <c r="K22" s="291">
        <v>71993363616</v>
      </c>
      <c r="L22" s="291">
        <v>71993363616</v>
      </c>
      <c r="M22" s="291" t="s">
        <v>70</v>
      </c>
    </row>
    <row r="23" spans="1:17" ht="22.5" customHeight="1" x14ac:dyDescent="0.25">
      <c r="A23" s="291">
        <v>20261</v>
      </c>
      <c r="B23" s="291" t="s">
        <v>1082</v>
      </c>
      <c r="C23" s="291" t="s">
        <v>20</v>
      </c>
      <c r="D23" s="295" t="s">
        <v>1083</v>
      </c>
      <c r="E23" s="291" t="s">
        <v>1084</v>
      </c>
      <c r="F23" s="291" t="s">
        <v>23</v>
      </c>
      <c r="G23" s="292">
        <v>46037</v>
      </c>
      <c r="H23" s="291" t="s">
        <v>1132</v>
      </c>
      <c r="I23" s="293">
        <v>25057782</v>
      </c>
      <c r="J23" s="303" t="s">
        <v>1133</v>
      </c>
      <c r="K23" s="291" t="s">
        <v>1134</v>
      </c>
      <c r="L23" s="291" t="s">
        <v>1134</v>
      </c>
      <c r="M23" s="291" t="s">
        <v>219</v>
      </c>
    </row>
    <row r="24" spans="1:17" ht="22.5" customHeight="1" x14ac:dyDescent="0.25">
      <c r="A24" s="291">
        <v>20261</v>
      </c>
      <c r="B24" s="291" t="s">
        <v>1082</v>
      </c>
      <c r="C24" s="291" t="s">
        <v>20</v>
      </c>
      <c r="D24" s="295" t="s">
        <v>1083</v>
      </c>
      <c r="E24" s="291" t="s">
        <v>1084</v>
      </c>
      <c r="F24" s="291" t="s">
        <v>23</v>
      </c>
      <c r="G24" s="292">
        <v>46037</v>
      </c>
      <c r="H24" s="303" t="s">
        <v>1135</v>
      </c>
      <c r="I24" s="304">
        <v>25058826</v>
      </c>
      <c r="J24" s="303" t="s">
        <v>1136</v>
      </c>
      <c r="K24" s="291" t="s">
        <v>1137</v>
      </c>
      <c r="L24" s="291" t="s">
        <v>1137</v>
      </c>
    </row>
    <row r="25" spans="1:17" ht="36.75" customHeight="1" x14ac:dyDescent="0.25">
      <c r="A25" s="291">
        <v>20261</v>
      </c>
      <c r="B25" s="291" t="s">
        <v>1082</v>
      </c>
      <c r="C25" s="291" t="s">
        <v>20</v>
      </c>
      <c r="D25" s="295" t="s">
        <v>1083</v>
      </c>
      <c r="E25" s="291" t="s">
        <v>1084</v>
      </c>
      <c r="F25" s="291" t="s">
        <v>23</v>
      </c>
      <c r="G25" s="292">
        <v>46037</v>
      </c>
      <c r="H25" s="305" t="s">
        <v>1138</v>
      </c>
      <c r="I25" s="306">
        <v>25058839</v>
      </c>
      <c r="J25" s="307" t="s">
        <v>1139</v>
      </c>
      <c r="K25" s="291" t="s">
        <v>1140</v>
      </c>
      <c r="L25" s="291" t="s">
        <v>1140</v>
      </c>
      <c r="M25" s="291" t="s">
        <v>540</v>
      </c>
      <c r="N25" s="291" t="s">
        <v>1141</v>
      </c>
      <c r="O25" s="295" t="s">
        <v>1142</v>
      </c>
    </row>
    <row r="26" spans="1:17" ht="22.5" customHeight="1" x14ac:dyDescent="0.25">
      <c r="A26" s="291">
        <v>20261</v>
      </c>
      <c r="B26" s="291" t="s">
        <v>1082</v>
      </c>
      <c r="C26" s="291" t="s">
        <v>20</v>
      </c>
      <c r="D26" s="295" t="s">
        <v>1083</v>
      </c>
      <c r="E26" s="291" t="s">
        <v>1084</v>
      </c>
      <c r="F26" s="291" t="s">
        <v>23</v>
      </c>
      <c r="G26" s="292">
        <v>46037</v>
      </c>
      <c r="H26" s="305" t="s">
        <v>1143</v>
      </c>
      <c r="I26" s="306">
        <v>25058859</v>
      </c>
      <c r="J26" s="327" t="s">
        <v>1144</v>
      </c>
      <c r="K26" s="291" t="s">
        <v>1145</v>
      </c>
      <c r="L26" s="291" t="s">
        <v>1145</v>
      </c>
    </row>
    <row r="27" spans="1:17" ht="22.5" customHeight="1" x14ac:dyDescent="0.25">
      <c r="A27" s="291">
        <v>20261</v>
      </c>
      <c r="B27" s="291" t="s">
        <v>1082</v>
      </c>
      <c r="C27" s="291" t="s">
        <v>20</v>
      </c>
      <c r="D27" s="295" t="s">
        <v>1083</v>
      </c>
      <c r="E27" s="291" t="s">
        <v>1084</v>
      </c>
      <c r="F27" s="291" t="s">
        <v>23</v>
      </c>
      <c r="G27" s="292">
        <v>46037</v>
      </c>
      <c r="H27" s="305" t="s">
        <v>1146</v>
      </c>
      <c r="I27" s="306">
        <v>21815054</v>
      </c>
      <c r="J27" s="305" t="s">
        <v>1147</v>
      </c>
      <c r="K27" s="291" t="s">
        <v>1148</v>
      </c>
      <c r="L27" s="291" t="s">
        <v>1148</v>
      </c>
    </row>
    <row r="28" spans="1:17" ht="22.5" customHeight="1" x14ac:dyDescent="0.25">
      <c r="A28" s="291">
        <v>20261</v>
      </c>
      <c r="B28" s="291" t="s">
        <v>1082</v>
      </c>
      <c r="C28" s="291" t="s">
        <v>20</v>
      </c>
      <c r="D28" s="295" t="s">
        <v>1083</v>
      </c>
      <c r="E28" s="291" t="s">
        <v>1084</v>
      </c>
      <c r="F28" s="291" t="s">
        <v>23</v>
      </c>
      <c r="G28" s="292">
        <v>46037</v>
      </c>
      <c r="H28" s="305" t="s">
        <v>1149</v>
      </c>
      <c r="I28" s="306">
        <v>232970278</v>
      </c>
      <c r="J28" s="307" t="s">
        <v>1150</v>
      </c>
      <c r="K28" s="291" t="s">
        <v>1151</v>
      </c>
      <c r="L28" s="291" t="s">
        <v>1151</v>
      </c>
    </row>
    <row r="29" spans="1:17" ht="22.5" customHeight="1" x14ac:dyDescent="0.25">
      <c r="A29" s="291">
        <v>20261</v>
      </c>
      <c r="B29" s="291" t="s">
        <v>1082</v>
      </c>
      <c r="C29" s="291" t="s">
        <v>20</v>
      </c>
      <c r="D29" s="295" t="s">
        <v>1083</v>
      </c>
      <c r="E29" s="291" t="s">
        <v>1084</v>
      </c>
      <c r="F29" s="291" t="s">
        <v>23</v>
      </c>
      <c r="G29" s="292">
        <v>46035</v>
      </c>
      <c r="H29" s="291" t="s">
        <v>1152</v>
      </c>
      <c r="I29" s="293">
        <v>25011274</v>
      </c>
      <c r="J29" s="300" t="s">
        <v>1153</v>
      </c>
      <c r="K29" s="291" t="s">
        <v>1154</v>
      </c>
      <c r="L29" s="291" t="s">
        <v>1154</v>
      </c>
    </row>
    <row r="30" spans="1:17" ht="22.5" customHeight="1" x14ac:dyDescent="0.25">
      <c r="A30" s="291">
        <v>20261</v>
      </c>
      <c r="B30" s="291" t="s">
        <v>1082</v>
      </c>
      <c r="C30" s="291" t="s">
        <v>20</v>
      </c>
      <c r="D30" s="295" t="s">
        <v>1083</v>
      </c>
      <c r="E30" s="291" t="s">
        <v>1084</v>
      </c>
      <c r="F30" s="291" t="s">
        <v>23</v>
      </c>
      <c r="G30" s="292">
        <v>46037</v>
      </c>
      <c r="H30" s="291" t="s">
        <v>1155</v>
      </c>
      <c r="I30" s="293">
        <v>25058230</v>
      </c>
      <c r="J30" s="300" t="s">
        <v>1156</v>
      </c>
      <c r="K30" s="292" t="s">
        <v>1157</v>
      </c>
      <c r="L30" s="292" t="s">
        <v>1157</v>
      </c>
    </row>
    <row r="31" spans="1:17" ht="22.5" customHeight="1" x14ac:dyDescent="0.25">
      <c r="A31" s="291">
        <v>20261</v>
      </c>
      <c r="B31" s="291" t="s">
        <v>1082</v>
      </c>
      <c r="C31" s="291" t="s">
        <v>20</v>
      </c>
      <c r="D31" s="295" t="s">
        <v>1083</v>
      </c>
      <c r="E31" s="291" t="s">
        <v>1084</v>
      </c>
      <c r="F31" s="291" t="s">
        <v>23</v>
      </c>
      <c r="G31" s="292">
        <v>46041</v>
      </c>
      <c r="H31" s="291" t="s">
        <v>1158</v>
      </c>
      <c r="I31" s="293">
        <v>21796788</v>
      </c>
      <c r="J31" s="300" t="s">
        <v>1159</v>
      </c>
      <c r="K31" s="291" t="s">
        <v>1160</v>
      </c>
      <c r="L31" s="291" t="s">
        <v>1161</v>
      </c>
    </row>
    <row r="32" spans="1:17" ht="22.5" customHeight="1" x14ac:dyDescent="0.25">
      <c r="A32" s="291">
        <v>20261</v>
      </c>
      <c r="B32" s="291" t="s">
        <v>1082</v>
      </c>
      <c r="C32" s="291" t="s">
        <v>20</v>
      </c>
      <c r="D32" s="295" t="s">
        <v>1083</v>
      </c>
      <c r="E32" s="291" t="s">
        <v>1084</v>
      </c>
      <c r="F32" s="291" t="s">
        <v>23</v>
      </c>
      <c r="G32" s="292">
        <v>46024</v>
      </c>
      <c r="H32" s="291" t="s">
        <v>1162</v>
      </c>
      <c r="I32" s="293">
        <v>25061075</v>
      </c>
      <c r="J32" s="291" t="s">
        <v>1163</v>
      </c>
      <c r="K32" s="291">
        <v>71989520420</v>
      </c>
      <c r="L32" s="291">
        <v>71989520420</v>
      </c>
    </row>
    <row r="33" spans="1:12" ht="22.5" customHeight="1" x14ac:dyDescent="0.25">
      <c r="A33" s="291">
        <v>20261</v>
      </c>
      <c r="B33" s="291" t="s">
        <v>1082</v>
      </c>
      <c r="C33" s="291" t="s">
        <v>20</v>
      </c>
      <c r="D33" s="295" t="s">
        <v>1083</v>
      </c>
      <c r="E33" s="291" t="s">
        <v>1084</v>
      </c>
      <c r="F33" s="291" t="s">
        <v>23</v>
      </c>
      <c r="G33" s="292">
        <v>46042</v>
      </c>
      <c r="H33" s="291" t="s">
        <v>1164</v>
      </c>
      <c r="I33" s="293">
        <v>25060963</v>
      </c>
      <c r="J33" s="291" t="s">
        <v>1165</v>
      </c>
      <c r="K33" s="291">
        <v>71993093745</v>
      </c>
      <c r="L33" s="291">
        <v>71993093745</v>
      </c>
    </row>
    <row r="34" spans="1:12" ht="22.5" customHeight="1" x14ac:dyDescent="0.25">
      <c r="A34" s="291">
        <v>20261</v>
      </c>
      <c r="B34" s="291" t="s">
        <v>1082</v>
      </c>
      <c r="D34" s="295" t="s">
        <v>1083</v>
      </c>
      <c r="E34" s="291" t="s">
        <v>1084</v>
      </c>
      <c r="F34" s="291" t="s">
        <v>23</v>
      </c>
      <c r="G34" s="292">
        <v>46042</v>
      </c>
      <c r="H34" s="291" t="s">
        <v>1166</v>
      </c>
      <c r="I34" s="293">
        <v>25060950</v>
      </c>
      <c r="J34" s="291" t="s">
        <v>1167</v>
      </c>
      <c r="K34" s="291">
        <v>71983037825</v>
      </c>
      <c r="L34" s="291">
        <v>71983037825</v>
      </c>
    </row>
    <row r="35" spans="1:12" ht="22.5" customHeight="1" x14ac:dyDescent="0.25">
      <c r="A35" s="291">
        <v>20261</v>
      </c>
      <c r="B35" s="291" t="s">
        <v>1082</v>
      </c>
      <c r="C35" s="291" t="s">
        <v>20</v>
      </c>
      <c r="D35" s="295" t="s">
        <v>1083</v>
      </c>
      <c r="E35" s="291" t="s">
        <v>1084</v>
      </c>
      <c r="F35" s="291" t="s">
        <v>23</v>
      </c>
      <c r="G35" s="292">
        <v>46042</v>
      </c>
      <c r="H35" s="291" t="s">
        <v>1168</v>
      </c>
      <c r="I35" s="293">
        <v>25060892</v>
      </c>
      <c r="J35" s="291" t="s">
        <v>1169</v>
      </c>
      <c r="K35" s="291">
        <v>71993278178</v>
      </c>
      <c r="L35" s="291">
        <v>71993278178</v>
      </c>
    </row>
  </sheetData>
  <autoFilter ref="A1:V28" xr:uid="{50066940-B1E5-43A7-9B57-4A964D6AE0C4}"/>
  <hyperlinks>
    <hyperlink ref="J16" r:id="rId1" xr:uid="{E4334EA8-5017-40B3-9DF4-AB42214E85C0}"/>
    <hyperlink ref="J18" r:id="rId2" xr:uid="{79F312CC-7533-4D75-A2D2-F18AC3A2B803}"/>
    <hyperlink ref="J17" r:id="rId3" xr:uid="{D0841B81-03C4-4EAB-A1E9-FBF1FB6FE26E}"/>
    <hyperlink ref="J4" r:id="rId4" xr:uid="{0844C4A3-968E-4066-A08D-C45438D12FF7}"/>
    <hyperlink ref="J25" r:id="rId5" xr:uid="{A986B0D7-B430-4CB5-94F6-EA0C9A5BE5FE}"/>
    <hyperlink ref="J29" r:id="rId6" xr:uid="{7C0E7EF3-2B8B-40C4-9A14-79163B8E490B}"/>
    <hyperlink ref="J30" r:id="rId7" xr:uid="{4ADE432F-8365-4DD8-8253-C6886E5FA185}"/>
    <hyperlink ref="J28" r:id="rId8" xr:uid="{3337B153-4962-491F-8587-218D67A33157}"/>
    <hyperlink ref="J26" r:id="rId9" xr:uid="{7BC45250-C26F-4445-B804-2A520412F8C8}"/>
    <hyperlink ref="J31" r:id="rId10" xr:uid="{B9A57F60-6D34-49FF-9AC3-773D4C2AE71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8C8E-7692-492C-8C94-C921C148ED1A}">
  <dimension ref="A2:Q624"/>
  <sheetViews>
    <sheetView workbookViewId="0">
      <selection activeCell="H6" sqref="H6"/>
    </sheetView>
  </sheetViews>
  <sheetFormatPr defaultRowHeight="15" x14ac:dyDescent="0.25"/>
  <cols>
    <col min="3" max="3" width="18.85546875" bestFit="1" customWidth="1"/>
    <col min="8" max="8" width="22.42578125" customWidth="1"/>
    <col min="15" max="15" width="18.85546875" bestFit="1" customWidth="1"/>
  </cols>
  <sheetData>
    <row r="2" spans="1:17" ht="49.5" customHeight="1" x14ac:dyDescent="0.25">
      <c r="A2" s="200" t="s">
        <v>820</v>
      </c>
      <c r="B2" s="201" t="s">
        <v>1</v>
      </c>
      <c r="C2" s="201" t="s">
        <v>1170</v>
      </c>
      <c r="D2" s="201" t="s">
        <v>3</v>
      </c>
      <c r="E2" s="201" t="s">
        <v>4</v>
      </c>
      <c r="F2" s="200" t="s">
        <v>5</v>
      </c>
      <c r="G2" s="200" t="s">
        <v>6</v>
      </c>
      <c r="H2" s="198" t="s">
        <v>7</v>
      </c>
      <c r="I2" s="201" t="s">
        <v>1171</v>
      </c>
      <c r="J2" s="201" t="s">
        <v>9</v>
      </c>
      <c r="K2" s="200" t="s">
        <v>10</v>
      </c>
      <c r="L2" s="200" t="s">
        <v>11</v>
      </c>
      <c r="M2" s="202" t="s">
        <v>12</v>
      </c>
      <c r="N2" s="200" t="s">
        <v>13</v>
      </c>
      <c r="O2" s="201" t="s">
        <v>14</v>
      </c>
      <c r="P2" s="200" t="s">
        <v>15</v>
      </c>
      <c r="Q2" s="200" t="s">
        <v>17</v>
      </c>
    </row>
    <row r="3" spans="1:17" x14ac:dyDescent="0.25">
      <c r="A3" s="199"/>
      <c r="B3" s="199"/>
      <c r="C3" s="199"/>
      <c r="D3" s="199"/>
      <c r="E3" s="199"/>
      <c r="F3" s="199"/>
      <c r="G3" s="199"/>
      <c r="H3" s="203"/>
      <c r="I3" s="199"/>
      <c r="J3" s="199"/>
      <c r="K3" s="199"/>
      <c r="L3" s="199"/>
      <c r="M3" s="199"/>
      <c r="N3" s="199"/>
      <c r="O3" s="199"/>
      <c r="P3" s="199"/>
      <c r="Q3" s="199"/>
    </row>
    <row r="4" spans="1:17" x14ac:dyDescent="0.25">
      <c r="A4" s="199"/>
      <c r="B4" s="199"/>
      <c r="C4" s="199"/>
      <c r="D4" s="199"/>
      <c r="E4" s="199"/>
      <c r="F4" s="199"/>
      <c r="G4" s="199"/>
      <c r="H4" s="203"/>
      <c r="I4" s="199"/>
      <c r="J4" s="199"/>
      <c r="K4" s="199"/>
      <c r="L4" s="199"/>
      <c r="M4" s="199"/>
      <c r="N4" s="199"/>
      <c r="O4" s="199"/>
      <c r="P4" s="199"/>
      <c r="Q4" s="199"/>
    </row>
    <row r="5" spans="1:17" x14ac:dyDescent="0.25">
      <c r="A5" s="199"/>
      <c r="B5" s="199"/>
      <c r="C5" s="199"/>
      <c r="D5" s="199"/>
      <c r="E5" s="199"/>
      <c r="F5" s="199"/>
      <c r="G5" s="199"/>
      <c r="H5" s="203"/>
      <c r="I5" s="199"/>
      <c r="J5" s="199"/>
      <c r="K5" s="199"/>
      <c r="L5" s="199"/>
      <c r="M5" s="199"/>
      <c r="N5" s="199"/>
      <c r="O5" s="199"/>
      <c r="P5" s="199"/>
      <c r="Q5" s="199"/>
    </row>
    <row r="6" spans="1:17" x14ac:dyDescent="0.25">
      <c r="A6" s="199"/>
      <c r="B6" s="199"/>
      <c r="C6" s="199"/>
      <c r="D6" s="199"/>
      <c r="E6" s="199"/>
      <c r="F6" s="199"/>
      <c r="G6" s="199"/>
      <c r="H6" s="203"/>
      <c r="I6" s="199"/>
      <c r="J6" s="199"/>
      <c r="K6" s="199"/>
      <c r="L6" s="199"/>
      <c r="M6" s="199"/>
      <c r="N6" s="199"/>
      <c r="O6" s="199"/>
      <c r="P6" s="199"/>
      <c r="Q6" s="199"/>
    </row>
    <row r="7" spans="1:17" x14ac:dyDescent="0.25">
      <c r="A7" s="199"/>
      <c r="B7" s="199"/>
      <c r="C7" s="199"/>
      <c r="D7" s="199"/>
      <c r="E7" s="199"/>
      <c r="F7" s="199"/>
      <c r="G7" s="199"/>
      <c r="H7" s="203"/>
      <c r="I7" s="199"/>
      <c r="J7" s="199"/>
      <c r="K7" s="199"/>
      <c r="L7" s="199"/>
      <c r="M7" s="199"/>
      <c r="N7" s="199"/>
      <c r="O7" s="199"/>
      <c r="P7" s="199"/>
      <c r="Q7" s="199"/>
    </row>
    <row r="8" spans="1:17" x14ac:dyDescent="0.25">
      <c r="A8" s="199"/>
      <c r="B8" s="199"/>
      <c r="C8" s="199"/>
      <c r="D8" s="199"/>
      <c r="E8" s="199"/>
      <c r="F8" s="199"/>
      <c r="G8" s="199"/>
      <c r="H8" s="203"/>
      <c r="I8" s="199"/>
      <c r="J8" s="199"/>
      <c r="K8" s="199"/>
      <c r="L8" s="199"/>
      <c r="M8" s="199"/>
      <c r="N8" s="199"/>
      <c r="O8" s="199"/>
      <c r="P8" s="199"/>
      <c r="Q8" s="199"/>
    </row>
    <row r="9" spans="1:17" x14ac:dyDescent="0.25">
      <c r="A9" s="199"/>
      <c r="B9" s="199"/>
      <c r="C9" s="199"/>
      <c r="D9" s="199"/>
      <c r="E9" s="199"/>
      <c r="F9" s="199"/>
      <c r="G9" s="199"/>
      <c r="H9" s="203"/>
      <c r="I9" s="199"/>
      <c r="J9" s="199"/>
      <c r="K9" s="199"/>
      <c r="L9" s="199"/>
      <c r="M9" s="199"/>
      <c r="N9" s="199"/>
      <c r="O9" s="199"/>
      <c r="P9" s="199"/>
      <c r="Q9" s="199"/>
    </row>
    <row r="10" spans="1:17" x14ac:dyDescent="0.25">
      <c r="A10" s="199"/>
      <c r="B10" s="199"/>
      <c r="C10" s="199"/>
      <c r="D10" s="199"/>
      <c r="E10" s="199"/>
      <c r="F10" s="199"/>
      <c r="G10" s="199"/>
      <c r="H10" s="203"/>
      <c r="I10" s="199"/>
      <c r="J10" s="199"/>
      <c r="K10" s="199"/>
      <c r="L10" s="199"/>
      <c r="M10" s="199"/>
      <c r="N10" s="199"/>
      <c r="O10" s="199"/>
      <c r="P10" s="199"/>
      <c r="Q10" s="199"/>
    </row>
    <row r="11" spans="1:17" x14ac:dyDescent="0.25">
      <c r="A11" s="199"/>
      <c r="B11" s="199"/>
      <c r="C11" s="199"/>
      <c r="D11" s="199"/>
      <c r="E11" s="199"/>
      <c r="F11" s="199"/>
      <c r="G11" s="199"/>
      <c r="H11" s="203"/>
      <c r="I11" s="199"/>
      <c r="J11" s="199"/>
      <c r="K11" s="199"/>
      <c r="L11" s="199"/>
      <c r="M11" s="199"/>
      <c r="N11" s="199"/>
      <c r="O11" s="199"/>
      <c r="P11" s="199"/>
      <c r="Q11" s="199"/>
    </row>
    <row r="12" spans="1:17" x14ac:dyDescent="0.25">
      <c r="A12" s="199"/>
      <c r="B12" s="199"/>
      <c r="C12" s="199"/>
      <c r="D12" s="199"/>
      <c r="E12" s="199"/>
      <c r="F12" s="199"/>
      <c r="G12" s="199"/>
      <c r="H12" s="203"/>
      <c r="I12" s="199"/>
      <c r="J12" s="199"/>
      <c r="K12" s="199"/>
      <c r="L12" s="199"/>
      <c r="M12" s="199"/>
      <c r="N12" s="199"/>
      <c r="O12" s="199"/>
      <c r="P12" s="199"/>
      <c r="Q12" s="199"/>
    </row>
    <row r="13" spans="1:17" x14ac:dyDescent="0.25">
      <c r="A13" s="199"/>
      <c r="B13" s="199"/>
      <c r="C13" s="199"/>
      <c r="D13" s="199"/>
      <c r="E13" s="199"/>
      <c r="F13" s="199"/>
      <c r="G13" s="199"/>
      <c r="H13" s="203"/>
      <c r="I13" s="199"/>
      <c r="J13" s="199"/>
      <c r="K13" s="199"/>
      <c r="L13" s="199"/>
      <c r="M13" s="199"/>
      <c r="N13" s="199"/>
      <c r="O13" s="199"/>
      <c r="P13" s="199"/>
      <c r="Q13" s="199"/>
    </row>
    <row r="14" spans="1:17" x14ac:dyDescent="0.25">
      <c r="A14" s="199"/>
      <c r="B14" s="199"/>
      <c r="C14" s="199"/>
      <c r="D14" s="199"/>
      <c r="E14" s="199"/>
      <c r="F14" s="199"/>
      <c r="G14" s="199"/>
      <c r="H14" s="203"/>
      <c r="I14" s="199"/>
      <c r="J14" s="199"/>
      <c r="K14" s="199"/>
      <c r="L14" s="199"/>
      <c r="M14" s="199"/>
      <c r="N14" s="199"/>
      <c r="O14" s="199"/>
      <c r="P14" s="199"/>
      <c r="Q14" s="199"/>
    </row>
    <row r="15" spans="1:17" x14ac:dyDescent="0.25">
      <c r="A15" s="199"/>
      <c r="B15" s="199"/>
      <c r="C15" s="199"/>
      <c r="D15" s="199"/>
      <c r="E15" s="199"/>
      <c r="F15" s="199"/>
      <c r="G15" s="199"/>
      <c r="H15" s="203"/>
      <c r="I15" s="199"/>
      <c r="J15" s="199"/>
      <c r="K15" s="199"/>
      <c r="L15" s="199"/>
      <c r="M15" s="199"/>
      <c r="N15" s="199"/>
      <c r="O15" s="199"/>
      <c r="P15" s="199"/>
      <c r="Q15" s="199"/>
    </row>
    <row r="16" spans="1:17" x14ac:dyDescent="0.25">
      <c r="A16" s="199"/>
      <c r="B16" s="199"/>
      <c r="C16" s="199"/>
      <c r="D16" s="199"/>
      <c r="E16" s="199"/>
      <c r="F16" s="199"/>
      <c r="G16" s="199"/>
      <c r="H16" s="203"/>
      <c r="I16" s="199"/>
      <c r="J16" s="199"/>
      <c r="K16" s="199"/>
      <c r="L16" s="199"/>
      <c r="M16" s="199"/>
      <c r="N16" s="199"/>
      <c r="O16" s="199"/>
      <c r="P16" s="199"/>
      <c r="Q16" s="199"/>
    </row>
    <row r="17" spans="1:17" x14ac:dyDescent="0.25">
      <c r="A17" s="199"/>
      <c r="B17" s="199"/>
      <c r="C17" s="199"/>
      <c r="D17" s="199"/>
      <c r="E17" s="199"/>
      <c r="F17" s="199"/>
      <c r="G17" s="199"/>
      <c r="H17" s="203"/>
      <c r="I17" s="199"/>
      <c r="J17" s="199"/>
      <c r="K17" s="199"/>
      <c r="L17" s="199"/>
      <c r="M17" s="199"/>
      <c r="N17" s="199"/>
      <c r="O17" s="199"/>
      <c r="P17" s="199"/>
      <c r="Q17" s="199"/>
    </row>
    <row r="18" spans="1:17" x14ac:dyDescent="0.25">
      <c r="A18" s="199"/>
      <c r="B18" s="199"/>
      <c r="C18" s="199"/>
      <c r="D18" s="199"/>
      <c r="E18" s="199"/>
      <c r="F18" s="199"/>
      <c r="G18" s="199"/>
      <c r="H18" s="203"/>
      <c r="I18" s="199"/>
      <c r="J18" s="199"/>
      <c r="K18" s="199"/>
      <c r="L18" s="199"/>
      <c r="M18" s="199"/>
      <c r="N18" s="199"/>
      <c r="O18" s="199"/>
      <c r="P18" s="199"/>
      <c r="Q18" s="199"/>
    </row>
    <row r="19" spans="1:17" x14ac:dyDescent="0.25">
      <c r="A19" s="199"/>
      <c r="B19" s="199"/>
      <c r="C19" s="199"/>
      <c r="D19" s="199"/>
      <c r="E19" s="199"/>
      <c r="F19" s="199"/>
      <c r="G19" s="199"/>
      <c r="H19" s="203"/>
      <c r="I19" s="199"/>
      <c r="J19" s="199"/>
      <c r="K19" s="199"/>
      <c r="L19" s="199"/>
      <c r="M19" s="199"/>
      <c r="N19" s="199"/>
      <c r="O19" s="199"/>
      <c r="P19" s="199"/>
      <c r="Q19" s="199"/>
    </row>
    <row r="20" spans="1:17" x14ac:dyDescent="0.25">
      <c r="A20" s="199"/>
      <c r="B20" s="199"/>
      <c r="C20" s="199"/>
      <c r="D20" s="199"/>
      <c r="E20" s="199"/>
      <c r="F20" s="199"/>
      <c r="G20" s="199"/>
      <c r="H20" s="203"/>
      <c r="I20" s="199"/>
      <c r="J20" s="199"/>
      <c r="K20" s="199"/>
      <c r="L20" s="199"/>
      <c r="M20" s="199"/>
      <c r="N20" s="199"/>
      <c r="O20" s="199"/>
      <c r="P20" s="199"/>
      <c r="Q20" s="199"/>
    </row>
    <row r="21" spans="1:17" x14ac:dyDescent="0.25">
      <c r="A21" s="199"/>
      <c r="B21" s="199"/>
      <c r="C21" s="199"/>
      <c r="D21" s="199"/>
      <c r="E21" s="199"/>
      <c r="F21" s="199"/>
      <c r="G21" s="199"/>
      <c r="H21" s="203"/>
      <c r="I21" s="199"/>
      <c r="J21" s="199"/>
      <c r="K21" s="199"/>
      <c r="L21" s="199"/>
      <c r="M21" s="199"/>
      <c r="N21" s="199"/>
      <c r="O21" s="199"/>
      <c r="P21" s="199"/>
      <c r="Q21" s="199"/>
    </row>
    <row r="22" spans="1:17" x14ac:dyDescent="0.25">
      <c r="A22" s="199"/>
      <c r="B22" s="199"/>
      <c r="C22" s="199"/>
      <c r="D22" s="199"/>
      <c r="E22" s="199"/>
      <c r="F22" s="199"/>
      <c r="G22" s="199"/>
      <c r="H22" s="203"/>
      <c r="I22" s="199"/>
      <c r="J22" s="199"/>
      <c r="K22" s="199"/>
      <c r="L22" s="199"/>
      <c r="M22" s="199"/>
      <c r="N22" s="199"/>
      <c r="O22" s="199"/>
      <c r="P22" s="199"/>
      <c r="Q22" s="199"/>
    </row>
    <row r="23" spans="1:17" x14ac:dyDescent="0.25">
      <c r="A23" s="199"/>
      <c r="B23" s="199"/>
      <c r="C23" s="199"/>
      <c r="D23" s="199"/>
      <c r="E23" s="199"/>
      <c r="F23" s="199"/>
      <c r="G23" s="199"/>
      <c r="H23" s="203"/>
      <c r="I23" s="199"/>
      <c r="J23" s="199"/>
      <c r="K23" s="199"/>
      <c r="L23" s="199"/>
      <c r="M23" s="199"/>
      <c r="N23" s="199"/>
      <c r="O23" s="199"/>
      <c r="P23" s="199"/>
      <c r="Q23" s="199"/>
    </row>
    <row r="24" spans="1:17" x14ac:dyDescent="0.25">
      <c r="A24" s="199"/>
      <c r="B24" s="199"/>
      <c r="C24" s="199"/>
      <c r="D24" s="199"/>
      <c r="E24" s="199"/>
      <c r="F24" s="199"/>
      <c r="G24" s="199"/>
      <c r="H24" s="203"/>
      <c r="I24" s="199"/>
      <c r="J24" s="199"/>
      <c r="K24" s="199"/>
      <c r="L24" s="199"/>
      <c r="M24" s="199"/>
      <c r="N24" s="199"/>
      <c r="O24" s="199"/>
      <c r="P24" s="199"/>
      <c r="Q24" s="199"/>
    </row>
    <row r="25" spans="1:17" x14ac:dyDescent="0.25">
      <c r="A25" s="199"/>
      <c r="B25" s="199"/>
      <c r="C25" s="199"/>
      <c r="D25" s="199"/>
      <c r="E25" s="199"/>
      <c r="F25" s="199"/>
      <c r="G25" s="199"/>
      <c r="H25" s="203"/>
      <c r="I25" s="199"/>
      <c r="J25" s="199"/>
      <c r="K25" s="199"/>
      <c r="L25" s="199"/>
      <c r="M25" s="199"/>
      <c r="N25" s="199"/>
      <c r="O25" s="199"/>
      <c r="P25" s="199"/>
      <c r="Q25" s="199"/>
    </row>
    <row r="26" spans="1:17" x14ac:dyDescent="0.25">
      <c r="A26" s="199"/>
      <c r="B26" s="199"/>
      <c r="C26" s="199"/>
      <c r="D26" s="199"/>
      <c r="E26" s="199"/>
      <c r="F26" s="199"/>
      <c r="G26" s="199"/>
      <c r="H26" s="203"/>
      <c r="I26" s="199"/>
      <c r="J26" s="199"/>
      <c r="K26" s="199"/>
      <c r="L26" s="199"/>
      <c r="M26" s="199"/>
      <c r="N26" s="199"/>
      <c r="O26" s="199"/>
      <c r="P26" s="199"/>
      <c r="Q26" s="199"/>
    </row>
    <row r="27" spans="1:17" x14ac:dyDescent="0.25">
      <c r="A27" s="199"/>
      <c r="B27" s="199"/>
      <c r="C27" s="199"/>
      <c r="D27" s="199"/>
      <c r="E27" s="199"/>
      <c r="F27" s="199"/>
      <c r="G27" s="199"/>
      <c r="H27" s="203"/>
      <c r="I27" s="199"/>
      <c r="J27" s="199"/>
      <c r="K27" s="199"/>
      <c r="L27" s="199"/>
      <c r="M27" s="199"/>
      <c r="N27" s="199"/>
      <c r="O27" s="199"/>
      <c r="P27" s="199"/>
      <c r="Q27" s="199"/>
    </row>
    <row r="28" spans="1:17" x14ac:dyDescent="0.25">
      <c r="A28" s="199"/>
      <c r="B28" s="199"/>
      <c r="C28" s="199"/>
      <c r="D28" s="199"/>
      <c r="E28" s="199"/>
      <c r="F28" s="199"/>
      <c r="G28" s="199"/>
      <c r="H28" s="203"/>
      <c r="I28" s="199"/>
      <c r="J28" s="199"/>
      <c r="K28" s="199"/>
      <c r="L28" s="199"/>
      <c r="M28" s="199"/>
      <c r="N28" s="199"/>
      <c r="O28" s="199"/>
      <c r="P28" s="199"/>
      <c r="Q28" s="199"/>
    </row>
    <row r="29" spans="1:17" x14ac:dyDescent="0.25">
      <c r="A29" s="199"/>
      <c r="B29" s="199"/>
      <c r="C29" s="199"/>
      <c r="D29" s="199"/>
      <c r="E29" s="199"/>
      <c r="F29" s="199"/>
      <c r="G29" s="199"/>
      <c r="H29" s="203"/>
      <c r="I29" s="199"/>
      <c r="J29" s="199"/>
      <c r="K29" s="199"/>
      <c r="L29" s="199"/>
      <c r="M29" s="199"/>
      <c r="N29" s="199"/>
      <c r="O29" s="199"/>
      <c r="P29" s="199"/>
      <c r="Q29" s="199"/>
    </row>
    <row r="30" spans="1:17" x14ac:dyDescent="0.25">
      <c r="A30" s="199"/>
      <c r="B30" s="199"/>
      <c r="C30" s="199"/>
      <c r="D30" s="199"/>
      <c r="E30" s="199"/>
      <c r="F30" s="199"/>
      <c r="G30" s="199"/>
      <c r="H30" s="203"/>
      <c r="I30" s="199"/>
      <c r="J30" s="199"/>
      <c r="K30" s="199"/>
      <c r="L30" s="199"/>
      <c r="M30" s="199"/>
      <c r="N30" s="199"/>
      <c r="O30" s="199"/>
      <c r="P30" s="199"/>
      <c r="Q30" s="199"/>
    </row>
    <row r="31" spans="1:17" x14ac:dyDescent="0.25">
      <c r="A31" s="199"/>
      <c r="B31" s="199"/>
      <c r="C31" s="199"/>
      <c r="D31" s="199"/>
      <c r="E31" s="199"/>
      <c r="F31" s="199"/>
      <c r="G31" s="199"/>
      <c r="H31" s="203"/>
      <c r="I31" s="199"/>
      <c r="J31" s="199"/>
      <c r="K31" s="199"/>
      <c r="L31" s="199"/>
      <c r="M31" s="199"/>
      <c r="N31" s="199"/>
      <c r="O31" s="199"/>
      <c r="P31" s="199"/>
      <c r="Q31" s="199"/>
    </row>
    <row r="32" spans="1:17" x14ac:dyDescent="0.25">
      <c r="A32" s="199"/>
      <c r="B32" s="199"/>
      <c r="C32" s="199"/>
      <c r="D32" s="199"/>
      <c r="E32" s="199"/>
      <c r="F32" s="199"/>
      <c r="G32" s="199"/>
      <c r="H32" s="203"/>
      <c r="I32" s="199"/>
      <c r="J32" s="199"/>
      <c r="K32" s="199"/>
      <c r="L32" s="199"/>
      <c r="M32" s="199"/>
      <c r="N32" s="199"/>
      <c r="O32" s="199"/>
      <c r="P32" s="199"/>
      <c r="Q32" s="199"/>
    </row>
    <row r="33" spans="1:17" x14ac:dyDescent="0.25">
      <c r="A33" s="199"/>
      <c r="B33" s="199"/>
      <c r="C33" s="199"/>
      <c r="D33" s="199"/>
      <c r="E33" s="199"/>
      <c r="F33" s="199"/>
      <c r="G33" s="199"/>
      <c r="H33" s="203"/>
      <c r="I33" s="199"/>
      <c r="J33" s="199"/>
      <c r="K33" s="199"/>
      <c r="L33" s="199"/>
      <c r="M33" s="199"/>
      <c r="N33" s="199"/>
      <c r="O33" s="199"/>
      <c r="P33" s="199"/>
      <c r="Q33" s="199"/>
    </row>
    <row r="34" spans="1:17" x14ac:dyDescent="0.25">
      <c r="A34" s="199"/>
      <c r="B34" s="199"/>
      <c r="C34" s="199"/>
      <c r="D34" s="199"/>
      <c r="E34" s="199"/>
      <c r="F34" s="199"/>
      <c r="G34" s="199"/>
      <c r="H34" s="203"/>
      <c r="I34" s="199"/>
      <c r="J34" s="199"/>
      <c r="K34" s="199"/>
      <c r="L34" s="199"/>
      <c r="M34" s="199"/>
      <c r="N34" s="199"/>
      <c r="O34" s="199"/>
      <c r="P34" s="199"/>
      <c r="Q34" s="199"/>
    </row>
    <row r="35" spans="1:17" x14ac:dyDescent="0.25">
      <c r="A35" s="199"/>
      <c r="B35" s="199"/>
      <c r="C35" s="199"/>
      <c r="D35" s="199"/>
      <c r="E35" s="199"/>
      <c r="F35" s="199"/>
      <c r="G35" s="199"/>
      <c r="H35" s="203"/>
      <c r="I35" s="199"/>
      <c r="J35" s="199"/>
      <c r="K35" s="199"/>
      <c r="L35" s="199"/>
      <c r="M35" s="199"/>
      <c r="N35" s="199"/>
      <c r="O35" s="199"/>
      <c r="P35" s="199"/>
      <c r="Q35" s="199"/>
    </row>
    <row r="36" spans="1:17" x14ac:dyDescent="0.25">
      <c r="A36" s="199"/>
      <c r="B36" s="199"/>
      <c r="C36" s="199"/>
      <c r="D36" s="199"/>
      <c r="E36" s="199"/>
      <c r="F36" s="199"/>
      <c r="G36" s="199"/>
      <c r="H36" s="203"/>
      <c r="I36" s="199"/>
      <c r="J36" s="199"/>
      <c r="K36" s="199"/>
      <c r="L36" s="199"/>
      <c r="M36" s="199"/>
      <c r="N36" s="199"/>
      <c r="O36" s="199"/>
      <c r="P36" s="199"/>
      <c r="Q36" s="199"/>
    </row>
    <row r="37" spans="1:17" x14ac:dyDescent="0.25">
      <c r="A37" s="199"/>
      <c r="B37" s="199"/>
      <c r="C37" s="199"/>
      <c r="D37" s="199"/>
      <c r="E37" s="199"/>
      <c r="F37" s="199"/>
      <c r="G37" s="199"/>
      <c r="H37" s="203"/>
      <c r="I37" s="199"/>
      <c r="J37" s="199"/>
      <c r="K37" s="199"/>
      <c r="L37" s="199"/>
      <c r="M37" s="199"/>
      <c r="N37" s="199"/>
      <c r="O37" s="199"/>
      <c r="P37" s="199"/>
      <c r="Q37" s="199"/>
    </row>
    <row r="38" spans="1:17" x14ac:dyDescent="0.25">
      <c r="A38" s="199"/>
      <c r="B38" s="199"/>
      <c r="C38" s="199"/>
      <c r="D38" s="199"/>
      <c r="E38" s="199"/>
      <c r="F38" s="199"/>
      <c r="G38" s="199"/>
      <c r="H38" s="203"/>
      <c r="I38" s="199"/>
      <c r="J38" s="199"/>
      <c r="K38" s="199"/>
      <c r="L38" s="199"/>
      <c r="M38" s="199"/>
      <c r="N38" s="199"/>
      <c r="O38" s="199"/>
      <c r="P38" s="199"/>
      <c r="Q38" s="199"/>
    </row>
    <row r="39" spans="1:17" x14ac:dyDescent="0.25">
      <c r="A39" s="199"/>
      <c r="B39" s="199"/>
      <c r="C39" s="199"/>
      <c r="D39" s="199"/>
      <c r="E39" s="199"/>
      <c r="F39" s="199"/>
      <c r="G39" s="199"/>
      <c r="H39" s="203"/>
      <c r="I39" s="199"/>
      <c r="J39" s="199"/>
      <c r="K39" s="199"/>
      <c r="L39" s="199"/>
      <c r="M39" s="199"/>
      <c r="N39" s="199"/>
      <c r="O39" s="199"/>
      <c r="P39" s="199"/>
      <c r="Q39" s="199"/>
    </row>
    <row r="40" spans="1:17" x14ac:dyDescent="0.25">
      <c r="A40" s="199"/>
      <c r="B40" s="199"/>
      <c r="C40" s="199"/>
      <c r="D40" s="199"/>
      <c r="E40" s="199"/>
      <c r="F40" s="199"/>
      <c r="G40" s="199"/>
      <c r="H40" s="203"/>
      <c r="I40" s="199"/>
      <c r="J40" s="199"/>
      <c r="K40" s="199"/>
      <c r="L40" s="199"/>
      <c r="M40" s="199"/>
      <c r="N40" s="199"/>
      <c r="O40" s="199"/>
      <c r="P40" s="199"/>
      <c r="Q40" s="199"/>
    </row>
    <row r="41" spans="1:17" x14ac:dyDescent="0.25">
      <c r="A41" s="199"/>
      <c r="B41" s="199"/>
      <c r="C41" s="199"/>
      <c r="D41" s="199"/>
      <c r="E41" s="199"/>
      <c r="F41" s="199"/>
      <c r="G41" s="199"/>
      <c r="H41" s="203"/>
      <c r="I41" s="199"/>
      <c r="J41" s="199"/>
      <c r="K41" s="199"/>
      <c r="L41" s="199"/>
      <c r="M41" s="199"/>
      <c r="N41" s="199"/>
      <c r="O41" s="199"/>
      <c r="P41" s="199"/>
      <c r="Q41" s="199"/>
    </row>
    <row r="42" spans="1:17" x14ac:dyDescent="0.25">
      <c r="A42" s="199"/>
      <c r="B42" s="199"/>
      <c r="C42" s="199"/>
      <c r="D42" s="199"/>
      <c r="E42" s="199"/>
      <c r="F42" s="199"/>
      <c r="G42" s="199"/>
      <c r="H42" s="203"/>
      <c r="I42" s="199"/>
      <c r="J42" s="199"/>
      <c r="K42" s="199"/>
      <c r="L42" s="199"/>
      <c r="M42" s="199"/>
      <c r="N42" s="199"/>
      <c r="O42" s="199"/>
      <c r="P42" s="199"/>
      <c r="Q42" s="199"/>
    </row>
    <row r="43" spans="1:17" x14ac:dyDescent="0.25">
      <c r="A43" s="199"/>
      <c r="B43" s="199"/>
      <c r="C43" s="199"/>
      <c r="D43" s="199"/>
      <c r="E43" s="199"/>
      <c r="F43" s="199"/>
      <c r="G43" s="199"/>
      <c r="H43" s="203"/>
      <c r="I43" s="199"/>
      <c r="J43" s="199"/>
      <c r="K43" s="199"/>
      <c r="L43" s="199"/>
      <c r="M43" s="199"/>
      <c r="N43" s="199"/>
      <c r="O43" s="199"/>
      <c r="P43" s="199"/>
      <c r="Q43" s="199"/>
    </row>
    <row r="44" spans="1:17" x14ac:dyDescent="0.25">
      <c r="A44" s="199"/>
      <c r="B44" s="199"/>
      <c r="C44" s="199"/>
      <c r="D44" s="199"/>
      <c r="E44" s="199"/>
      <c r="F44" s="199"/>
      <c r="G44" s="199"/>
      <c r="H44" s="203"/>
      <c r="I44" s="199"/>
      <c r="J44" s="199"/>
      <c r="K44" s="199"/>
      <c r="L44" s="199"/>
      <c r="M44" s="199"/>
      <c r="N44" s="199"/>
      <c r="O44" s="199"/>
      <c r="P44" s="199"/>
      <c r="Q44" s="199"/>
    </row>
    <row r="45" spans="1:17" x14ac:dyDescent="0.25">
      <c r="A45" s="199"/>
      <c r="B45" s="199"/>
      <c r="C45" s="199"/>
      <c r="D45" s="199"/>
      <c r="E45" s="199"/>
      <c r="F45" s="199"/>
      <c r="G45" s="199"/>
      <c r="H45" s="203"/>
      <c r="I45" s="199"/>
      <c r="J45" s="199"/>
      <c r="K45" s="199"/>
      <c r="L45" s="199"/>
      <c r="M45" s="199"/>
      <c r="N45" s="199"/>
      <c r="O45" s="199"/>
      <c r="P45" s="199"/>
      <c r="Q45" s="199"/>
    </row>
    <row r="46" spans="1:17" x14ac:dyDescent="0.25">
      <c r="A46" s="199"/>
      <c r="B46" s="199"/>
      <c r="C46" s="199"/>
      <c r="D46" s="199"/>
      <c r="E46" s="199"/>
      <c r="F46" s="199"/>
      <c r="G46" s="199"/>
      <c r="H46" s="203"/>
      <c r="I46" s="199"/>
      <c r="J46" s="199"/>
      <c r="K46" s="199"/>
      <c r="L46" s="199"/>
      <c r="M46" s="199"/>
      <c r="N46" s="199"/>
      <c r="O46" s="199"/>
      <c r="P46" s="199"/>
      <c r="Q46" s="199"/>
    </row>
    <row r="47" spans="1:17" x14ac:dyDescent="0.25">
      <c r="A47" s="199"/>
      <c r="B47" s="199"/>
      <c r="C47" s="199"/>
      <c r="D47" s="199"/>
      <c r="E47" s="199"/>
      <c r="F47" s="199"/>
      <c r="G47" s="199"/>
      <c r="H47" s="203"/>
      <c r="I47" s="199"/>
      <c r="J47" s="199"/>
      <c r="K47" s="199"/>
      <c r="L47" s="199"/>
      <c r="M47" s="199"/>
      <c r="N47" s="199"/>
      <c r="O47" s="199"/>
      <c r="P47" s="199"/>
      <c r="Q47" s="199"/>
    </row>
    <row r="48" spans="1:17" x14ac:dyDescent="0.25">
      <c r="A48" s="199"/>
      <c r="B48" s="199"/>
      <c r="C48" s="199"/>
      <c r="D48" s="199"/>
      <c r="E48" s="199"/>
      <c r="F48" s="199"/>
      <c r="G48" s="199"/>
      <c r="H48" s="203"/>
      <c r="I48" s="199"/>
      <c r="J48" s="199"/>
      <c r="K48" s="199"/>
      <c r="L48" s="199"/>
      <c r="M48" s="199"/>
      <c r="N48" s="199"/>
      <c r="O48" s="199"/>
      <c r="P48" s="199"/>
      <c r="Q48" s="199"/>
    </row>
    <row r="49" spans="1:17" x14ac:dyDescent="0.25">
      <c r="A49" s="199"/>
      <c r="B49" s="199"/>
      <c r="C49" s="199"/>
      <c r="D49" s="199"/>
      <c r="E49" s="199"/>
      <c r="F49" s="199"/>
      <c r="G49" s="199"/>
      <c r="H49" s="203"/>
      <c r="I49" s="199"/>
      <c r="J49" s="199"/>
      <c r="K49" s="199"/>
      <c r="L49" s="199"/>
      <c r="M49" s="199"/>
      <c r="N49" s="199"/>
      <c r="O49" s="199"/>
      <c r="P49" s="199"/>
      <c r="Q49" s="199"/>
    </row>
    <row r="50" spans="1:17" x14ac:dyDescent="0.25">
      <c r="A50" s="199"/>
      <c r="B50" s="199"/>
      <c r="C50" s="199"/>
      <c r="D50" s="199"/>
      <c r="E50" s="199"/>
      <c r="F50" s="199"/>
      <c r="G50" s="199"/>
      <c r="H50" s="203"/>
      <c r="I50" s="199"/>
      <c r="J50" s="199"/>
      <c r="K50" s="199"/>
      <c r="L50" s="199"/>
      <c r="M50" s="199"/>
      <c r="N50" s="199"/>
      <c r="O50" s="199"/>
      <c r="P50" s="199"/>
      <c r="Q50" s="199"/>
    </row>
    <row r="51" spans="1:17" x14ac:dyDescent="0.25">
      <c r="A51" s="199"/>
      <c r="B51" s="199"/>
      <c r="C51" s="199"/>
      <c r="D51" s="199"/>
      <c r="E51" s="199"/>
      <c r="F51" s="199"/>
      <c r="G51" s="199"/>
      <c r="H51" s="203"/>
      <c r="I51" s="199"/>
      <c r="J51" s="199"/>
      <c r="K51" s="199"/>
      <c r="L51" s="199"/>
      <c r="M51" s="199"/>
      <c r="N51" s="199"/>
      <c r="O51" s="199"/>
      <c r="P51" s="199"/>
      <c r="Q51" s="199"/>
    </row>
    <row r="52" spans="1:17" x14ac:dyDescent="0.25">
      <c r="A52" s="199"/>
      <c r="B52" s="199"/>
      <c r="C52" s="199"/>
      <c r="D52" s="199"/>
      <c r="E52" s="199"/>
      <c r="F52" s="199"/>
      <c r="G52" s="199"/>
      <c r="H52" s="203"/>
      <c r="I52" s="199"/>
      <c r="J52" s="199"/>
      <c r="K52" s="199"/>
      <c r="L52" s="199"/>
      <c r="M52" s="199"/>
      <c r="N52" s="199"/>
      <c r="O52" s="199"/>
      <c r="P52" s="199"/>
      <c r="Q52" s="199"/>
    </row>
    <row r="53" spans="1:17" x14ac:dyDescent="0.25">
      <c r="A53" s="199"/>
      <c r="B53" s="199"/>
      <c r="C53" s="199"/>
      <c r="D53" s="199"/>
      <c r="E53" s="199"/>
      <c r="F53" s="199"/>
      <c r="G53" s="199"/>
      <c r="H53" s="203"/>
      <c r="I53" s="199"/>
      <c r="J53" s="199"/>
      <c r="K53" s="199"/>
      <c r="L53" s="199"/>
      <c r="M53" s="199"/>
      <c r="N53" s="199"/>
      <c r="O53" s="199"/>
      <c r="P53" s="199"/>
      <c r="Q53" s="199"/>
    </row>
    <row r="54" spans="1:17" x14ac:dyDescent="0.25">
      <c r="A54" s="199"/>
      <c r="B54" s="199"/>
      <c r="C54" s="199"/>
      <c r="D54" s="199"/>
      <c r="E54" s="199"/>
      <c r="F54" s="199"/>
      <c r="G54" s="199"/>
      <c r="H54" s="203"/>
      <c r="I54" s="199"/>
      <c r="J54" s="199"/>
      <c r="K54" s="199"/>
      <c r="L54" s="199"/>
      <c r="M54" s="199"/>
      <c r="N54" s="199"/>
      <c r="O54" s="199"/>
      <c r="P54" s="199"/>
      <c r="Q54" s="199"/>
    </row>
    <row r="55" spans="1:17" x14ac:dyDescent="0.25">
      <c r="A55" s="199"/>
      <c r="B55" s="199"/>
      <c r="C55" s="199"/>
      <c r="D55" s="199"/>
      <c r="E55" s="199"/>
      <c r="F55" s="199"/>
      <c r="G55" s="199"/>
      <c r="H55" s="203"/>
      <c r="I55" s="199"/>
      <c r="J55" s="199"/>
      <c r="K55" s="199"/>
      <c r="L55" s="199"/>
      <c r="M55" s="199"/>
      <c r="N55" s="199"/>
      <c r="O55" s="199"/>
      <c r="P55" s="199"/>
      <c r="Q55" s="199"/>
    </row>
    <row r="56" spans="1:17" x14ac:dyDescent="0.25">
      <c r="A56" s="199"/>
      <c r="B56" s="199"/>
      <c r="C56" s="199"/>
      <c r="D56" s="199"/>
      <c r="E56" s="199"/>
      <c r="F56" s="199"/>
      <c r="G56" s="199"/>
      <c r="H56" s="203"/>
      <c r="I56" s="199"/>
      <c r="J56" s="199"/>
      <c r="K56" s="199"/>
      <c r="L56" s="199"/>
      <c r="M56" s="199"/>
      <c r="N56" s="199"/>
      <c r="O56" s="199"/>
      <c r="P56" s="199"/>
      <c r="Q56" s="199"/>
    </row>
    <row r="57" spans="1:17" x14ac:dyDescent="0.25">
      <c r="A57" s="199"/>
      <c r="B57" s="199"/>
      <c r="C57" s="199"/>
      <c r="D57" s="199"/>
      <c r="E57" s="199"/>
      <c r="F57" s="199"/>
      <c r="G57" s="199"/>
      <c r="H57" s="203"/>
      <c r="I57" s="199"/>
      <c r="J57" s="199"/>
      <c r="K57" s="199"/>
      <c r="L57" s="199"/>
      <c r="M57" s="199"/>
      <c r="N57" s="199"/>
      <c r="O57" s="199"/>
      <c r="P57" s="199"/>
      <c r="Q57" s="199"/>
    </row>
    <row r="58" spans="1:17" x14ac:dyDescent="0.25">
      <c r="A58" s="199"/>
      <c r="B58" s="199"/>
      <c r="C58" s="199"/>
      <c r="D58" s="199"/>
      <c r="E58" s="199"/>
      <c r="F58" s="199"/>
      <c r="G58" s="199"/>
      <c r="H58" s="203"/>
      <c r="I58" s="199"/>
      <c r="J58" s="199"/>
      <c r="K58" s="199"/>
      <c r="L58" s="199"/>
      <c r="M58" s="199"/>
      <c r="N58" s="199"/>
      <c r="O58" s="199"/>
      <c r="P58" s="199"/>
      <c r="Q58" s="199"/>
    </row>
    <row r="59" spans="1:17" x14ac:dyDescent="0.25">
      <c r="A59" s="199"/>
      <c r="B59" s="199"/>
      <c r="C59" s="199"/>
      <c r="D59" s="199"/>
      <c r="E59" s="199"/>
      <c r="F59" s="199"/>
      <c r="G59" s="199"/>
      <c r="H59" s="203"/>
      <c r="I59" s="199"/>
      <c r="J59" s="199"/>
      <c r="K59" s="199"/>
      <c r="L59" s="199"/>
      <c r="M59" s="199"/>
      <c r="N59" s="199"/>
      <c r="O59" s="199"/>
      <c r="P59" s="199"/>
      <c r="Q59" s="199"/>
    </row>
    <row r="60" spans="1:17" x14ac:dyDescent="0.25">
      <c r="A60" s="199"/>
      <c r="B60" s="199"/>
      <c r="C60" s="199"/>
      <c r="D60" s="199"/>
      <c r="E60" s="199"/>
      <c r="F60" s="199"/>
      <c r="G60" s="199"/>
      <c r="H60" s="203"/>
      <c r="I60" s="199"/>
      <c r="J60" s="199"/>
      <c r="K60" s="199"/>
      <c r="L60" s="199"/>
      <c r="M60" s="199"/>
      <c r="N60" s="199"/>
      <c r="O60" s="199"/>
      <c r="P60" s="199"/>
      <c r="Q60" s="199"/>
    </row>
    <row r="61" spans="1:17" x14ac:dyDescent="0.25">
      <c r="A61" s="199"/>
      <c r="B61" s="199"/>
      <c r="C61" s="199"/>
      <c r="D61" s="199"/>
      <c r="E61" s="199"/>
      <c r="F61" s="199"/>
      <c r="G61" s="199"/>
      <c r="H61" s="203"/>
      <c r="I61" s="199"/>
      <c r="J61" s="199"/>
      <c r="K61" s="199"/>
      <c r="L61" s="199"/>
      <c r="M61" s="199"/>
      <c r="N61" s="199"/>
      <c r="O61" s="199"/>
      <c r="P61" s="199"/>
      <c r="Q61" s="199"/>
    </row>
    <row r="62" spans="1:17" x14ac:dyDescent="0.25">
      <c r="A62" s="199"/>
      <c r="B62" s="199"/>
      <c r="C62" s="199"/>
      <c r="D62" s="199"/>
      <c r="E62" s="199"/>
      <c r="F62" s="199"/>
      <c r="G62" s="199"/>
      <c r="H62" s="203"/>
      <c r="I62" s="199"/>
      <c r="J62" s="199"/>
      <c r="K62" s="199"/>
      <c r="L62" s="199"/>
      <c r="M62" s="199"/>
      <c r="N62" s="199"/>
      <c r="O62" s="199"/>
      <c r="P62" s="199"/>
      <c r="Q62" s="199"/>
    </row>
    <row r="63" spans="1:17" x14ac:dyDescent="0.25">
      <c r="A63" s="199"/>
      <c r="B63" s="199"/>
      <c r="C63" s="199"/>
      <c r="D63" s="199"/>
      <c r="E63" s="199"/>
      <c r="F63" s="199"/>
      <c r="G63" s="199"/>
      <c r="H63" s="203"/>
      <c r="I63" s="199"/>
      <c r="J63" s="199"/>
      <c r="K63" s="199"/>
      <c r="L63" s="199"/>
      <c r="M63" s="199"/>
      <c r="N63" s="199"/>
      <c r="O63" s="199"/>
      <c r="P63" s="199"/>
      <c r="Q63" s="199"/>
    </row>
    <row r="64" spans="1:17" x14ac:dyDescent="0.25">
      <c r="A64" s="199"/>
      <c r="B64" s="199"/>
      <c r="C64" s="199"/>
      <c r="D64" s="199"/>
      <c r="E64" s="199"/>
      <c r="F64" s="199"/>
      <c r="G64" s="199"/>
      <c r="H64" s="203"/>
      <c r="I64" s="199"/>
      <c r="J64" s="199"/>
      <c r="K64" s="199"/>
      <c r="L64" s="199"/>
      <c r="M64" s="199"/>
      <c r="N64" s="199"/>
      <c r="O64" s="199"/>
      <c r="P64" s="199"/>
      <c r="Q64" s="199"/>
    </row>
    <row r="65" spans="1:17" x14ac:dyDescent="0.25">
      <c r="A65" s="199"/>
      <c r="B65" s="199"/>
      <c r="C65" s="199"/>
      <c r="D65" s="199"/>
      <c r="E65" s="199"/>
      <c r="F65" s="199"/>
      <c r="G65" s="199"/>
      <c r="H65" s="203"/>
      <c r="I65" s="199"/>
      <c r="J65" s="199"/>
      <c r="K65" s="199"/>
      <c r="L65" s="199"/>
      <c r="M65" s="199"/>
      <c r="N65" s="199"/>
      <c r="O65" s="199"/>
      <c r="P65" s="199"/>
      <c r="Q65" s="199"/>
    </row>
    <row r="66" spans="1:17" x14ac:dyDescent="0.25">
      <c r="A66" s="199"/>
      <c r="B66" s="199"/>
      <c r="C66" s="199"/>
      <c r="D66" s="199"/>
      <c r="E66" s="199"/>
      <c r="F66" s="199"/>
      <c r="G66" s="199"/>
      <c r="H66" s="203"/>
      <c r="I66" s="199"/>
      <c r="J66" s="199"/>
      <c r="K66" s="199"/>
      <c r="L66" s="199"/>
      <c r="M66" s="199"/>
      <c r="N66" s="199"/>
      <c r="O66" s="199"/>
      <c r="P66" s="199"/>
      <c r="Q66" s="199"/>
    </row>
    <row r="67" spans="1:17" x14ac:dyDescent="0.25">
      <c r="A67" s="199"/>
      <c r="B67" s="199"/>
      <c r="C67" s="199"/>
      <c r="D67" s="199"/>
      <c r="E67" s="199"/>
      <c r="F67" s="199"/>
      <c r="G67" s="199"/>
      <c r="H67" s="203"/>
      <c r="I67" s="199"/>
      <c r="J67" s="199"/>
      <c r="K67" s="199"/>
      <c r="L67" s="199"/>
      <c r="M67" s="199"/>
      <c r="N67" s="199"/>
      <c r="O67" s="199"/>
      <c r="P67" s="199"/>
      <c r="Q67" s="199"/>
    </row>
    <row r="68" spans="1:17" x14ac:dyDescent="0.25">
      <c r="A68" s="199"/>
      <c r="B68" s="199"/>
      <c r="C68" s="199"/>
      <c r="D68" s="199"/>
      <c r="E68" s="199"/>
      <c r="F68" s="199"/>
      <c r="G68" s="199"/>
      <c r="H68" s="203"/>
      <c r="I68" s="199"/>
      <c r="J68" s="199"/>
      <c r="K68" s="199"/>
      <c r="L68" s="199"/>
      <c r="M68" s="199"/>
      <c r="N68" s="199"/>
      <c r="O68" s="199"/>
      <c r="P68" s="199"/>
      <c r="Q68" s="199"/>
    </row>
    <row r="69" spans="1:17" x14ac:dyDescent="0.25">
      <c r="A69" s="199"/>
      <c r="B69" s="199"/>
      <c r="C69" s="199"/>
      <c r="D69" s="199"/>
      <c r="E69" s="199"/>
      <c r="F69" s="199"/>
      <c r="G69" s="199"/>
      <c r="H69" s="203"/>
      <c r="I69" s="199"/>
      <c r="J69" s="199"/>
      <c r="K69" s="199"/>
      <c r="L69" s="199"/>
      <c r="M69" s="199"/>
      <c r="N69" s="199"/>
      <c r="O69" s="199"/>
      <c r="P69" s="199"/>
      <c r="Q69" s="199"/>
    </row>
    <row r="70" spans="1:17" x14ac:dyDescent="0.25">
      <c r="A70" s="199"/>
      <c r="B70" s="199"/>
      <c r="C70" s="199"/>
      <c r="D70" s="199"/>
      <c r="E70" s="199"/>
      <c r="F70" s="199"/>
      <c r="G70" s="199"/>
      <c r="H70" s="203"/>
      <c r="I70" s="199"/>
      <c r="J70" s="199"/>
      <c r="K70" s="199"/>
      <c r="L70" s="199"/>
      <c r="M70" s="199"/>
      <c r="N70" s="199"/>
      <c r="O70" s="199"/>
      <c r="P70" s="199"/>
      <c r="Q70" s="199"/>
    </row>
    <row r="71" spans="1:17" x14ac:dyDescent="0.25">
      <c r="A71" s="199"/>
      <c r="B71" s="199"/>
      <c r="C71" s="199"/>
      <c r="D71" s="199"/>
      <c r="E71" s="199"/>
      <c r="F71" s="199"/>
      <c r="G71" s="199"/>
      <c r="H71" s="203"/>
      <c r="I71" s="199"/>
      <c r="J71" s="199"/>
      <c r="K71" s="199"/>
      <c r="L71" s="199"/>
      <c r="M71" s="199"/>
      <c r="N71" s="199"/>
      <c r="O71" s="199"/>
      <c r="P71" s="199"/>
      <c r="Q71" s="199"/>
    </row>
    <row r="72" spans="1:17" x14ac:dyDescent="0.25">
      <c r="A72" s="199"/>
      <c r="B72" s="199"/>
      <c r="C72" s="199"/>
      <c r="D72" s="199"/>
      <c r="E72" s="199"/>
      <c r="F72" s="199"/>
      <c r="G72" s="199"/>
      <c r="H72" s="203"/>
      <c r="I72" s="199"/>
      <c r="J72" s="199"/>
      <c r="K72" s="199"/>
      <c r="L72" s="199"/>
      <c r="M72" s="199"/>
      <c r="N72" s="199"/>
      <c r="O72" s="199"/>
      <c r="P72" s="199"/>
      <c r="Q72" s="199"/>
    </row>
    <row r="73" spans="1:17" x14ac:dyDescent="0.25">
      <c r="A73" s="199"/>
      <c r="B73" s="199"/>
      <c r="C73" s="199"/>
      <c r="D73" s="199"/>
      <c r="E73" s="199"/>
      <c r="F73" s="199"/>
      <c r="G73" s="199"/>
      <c r="H73" s="203"/>
      <c r="I73" s="199"/>
      <c r="J73" s="199"/>
      <c r="K73" s="199"/>
      <c r="L73" s="199"/>
      <c r="M73" s="199"/>
      <c r="N73" s="199"/>
      <c r="O73" s="199"/>
      <c r="P73" s="199"/>
      <c r="Q73" s="199"/>
    </row>
    <row r="74" spans="1:17" x14ac:dyDescent="0.25">
      <c r="A74" s="199"/>
      <c r="B74" s="199"/>
      <c r="C74" s="199"/>
      <c r="D74" s="199"/>
      <c r="E74" s="199"/>
      <c r="F74" s="199"/>
      <c r="G74" s="199"/>
      <c r="H74" s="203"/>
      <c r="I74" s="199"/>
      <c r="J74" s="199"/>
      <c r="K74" s="199"/>
      <c r="L74" s="199"/>
      <c r="M74" s="199"/>
      <c r="N74" s="199"/>
      <c r="O74" s="199"/>
      <c r="P74" s="199"/>
      <c r="Q74" s="199"/>
    </row>
    <row r="75" spans="1:17" x14ac:dyDescent="0.25">
      <c r="A75" s="199"/>
      <c r="B75" s="199"/>
      <c r="C75" s="199"/>
      <c r="D75" s="199"/>
      <c r="E75" s="199"/>
      <c r="F75" s="199"/>
      <c r="G75" s="199"/>
      <c r="H75" s="203"/>
      <c r="I75" s="199"/>
      <c r="J75" s="199"/>
      <c r="K75" s="199"/>
      <c r="L75" s="199"/>
      <c r="M75" s="199"/>
      <c r="N75" s="199"/>
      <c r="O75" s="199"/>
      <c r="P75" s="199"/>
      <c r="Q75" s="199"/>
    </row>
    <row r="76" spans="1:17" x14ac:dyDescent="0.25">
      <c r="A76" s="199"/>
      <c r="B76" s="199"/>
      <c r="C76" s="199"/>
      <c r="D76" s="199"/>
      <c r="E76" s="199"/>
      <c r="F76" s="199"/>
      <c r="G76" s="199"/>
      <c r="H76" s="203"/>
      <c r="I76" s="199"/>
      <c r="J76" s="199"/>
      <c r="K76" s="199"/>
      <c r="L76" s="199"/>
      <c r="M76" s="199"/>
      <c r="N76" s="199"/>
      <c r="O76" s="199"/>
      <c r="P76" s="199"/>
      <c r="Q76" s="199"/>
    </row>
    <row r="77" spans="1:17" x14ac:dyDescent="0.25">
      <c r="A77" s="199"/>
      <c r="B77" s="199"/>
      <c r="C77" s="199"/>
      <c r="D77" s="199"/>
      <c r="E77" s="199"/>
      <c r="F77" s="199"/>
      <c r="G77" s="199"/>
      <c r="H77" s="203"/>
      <c r="I77" s="199"/>
      <c r="J77" s="199"/>
      <c r="K77" s="199"/>
      <c r="L77" s="199"/>
      <c r="M77" s="199"/>
      <c r="N77" s="199"/>
      <c r="O77" s="199"/>
      <c r="P77" s="199"/>
      <c r="Q77" s="199"/>
    </row>
    <row r="78" spans="1:17" x14ac:dyDescent="0.25">
      <c r="A78" s="199"/>
      <c r="B78" s="199"/>
      <c r="C78" s="199"/>
      <c r="D78" s="199"/>
      <c r="E78" s="199"/>
      <c r="F78" s="199"/>
      <c r="G78" s="199"/>
      <c r="H78" s="203"/>
      <c r="I78" s="199"/>
      <c r="J78" s="199"/>
      <c r="K78" s="199"/>
      <c r="L78" s="199"/>
      <c r="M78" s="199"/>
      <c r="N78" s="199"/>
      <c r="O78" s="199"/>
      <c r="P78" s="199"/>
      <c r="Q78" s="199"/>
    </row>
    <row r="79" spans="1:17" x14ac:dyDescent="0.25">
      <c r="A79" s="199"/>
      <c r="B79" s="199"/>
      <c r="C79" s="199"/>
      <c r="D79" s="199"/>
      <c r="E79" s="199"/>
      <c r="F79" s="199"/>
      <c r="G79" s="199"/>
      <c r="H79" s="203"/>
      <c r="I79" s="199"/>
      <c r="J79" s="199"/>
      <c r="K79" s="199"/>
      <c r="L79" s="199"/>
      <c r="M79" s="199"/>
      <c r="N79" s="199"/>
      <c r="O79" s="199"/>
      <c r="P79" s="199"/>
      <c r="Q79" s="199"/>
    </row>
    <row r="80" spans="1:17" x14ac:dyDescent="0.25">
      <c r="A80" s="199"/>
      <c r="B80" s="199"/>
      <c r="C80" s="199"/>
      <c r="D80" s="199"/>
      <c r="E80" s="199"/>
      <c r="F80" s="199"/>
      <c r="G80" s="199"/>
      <c r="H80" s="203"/>
      <c r="I80" s="199"/>
      <c r="J80" s="199"/>
      <c r="K80" s="199"/>
      <c r="L80" s="199"/>
      <c r="M80" s="199"/>
      <c r="N80" s="199"/>
      <c r="O80" s="199"/>
      <c r="P80" s="199"/>
      <c r="Q80" s="199"/>
    </row>
    <row r="81" spans="1:17" x14ac:dyDescent="0.25">
      <c r="A81" s="199"/>
      <c r="B81" s="199"/>
      <c r="C81" s="199"/>
      <c r="D81" s="199"/>
      <c r="E81" s="199"/>
      <c r="F81" s="199"/>
      <c r="G81" s="199"/>
      <c r="H81" s="203"/>
      <c r="I81" s="199"/>
      <c r="J81" s="199"/>
      <c r="K81" s="199"/>
      <c r="L81" s="199"/>
      <c r="M81" s="199"/>
      <c r="N81" s="199"/>
      <c r="O81" s="199"/>
      <c r="P81" s="199"/>
      <c r="Q81" s="199"/>
    </row>
    <row r="82" spans="1:17" x14ac:dyDescent="0.25">
      <c r="A82" s="199"/>
      <c r="B82" s="199"/>
      <c r="C82" s="199"/>
      <c r="D82" s="199"/>
      <c r="E82" s="199"/>
      <c r="F82" s="199"/>
      <c r="G82" s="199"/>
      <c r="H82" s="203"/>
      <c r="I82" s="199"/>
      <c r="J82" s="199"/>
      <c r="K82" s="199"/>
      <c r="L82" s="199"/>
      <c r="M82" s="199"/>
      <c r="N82" s="199"/>
      <c r="O82" s="199"/>
      <c r="P82" s="199"/>
      <c r="Q82" s="199"/>
    </row>
    <row r="83" spans="1:17" x14ac:dyDescent="0.25">
      <c r="A83" s="199"/>
      <c r="B83" s="199"/>
      <c r="C83" s="199"/>
      <c r="D83" s="199"/>
      <c r="E83" s="199"/>
      <c r="F83" s="199"/>
      <c r="G83" s="199"/>
      <c r="H83" s="203"/>
      <c r="I83" s="199"/>
      <c r="J83" s="199"/>
      <c r="K83" s="199"/>
      <c r="L83" s="199"/>
      <c r="M83" s="199"/>
      <c r="N83" s="199"/>
      <c r="O83" s="199"/>
      <c r="P83" s="199"/>
      <c r="Q83" s="199"/>
    </row>
    <row r="84" spans="1:17" x14ac:dyDescent="0.25">
      <c r="A84" s="199"/>
      <c r="B84" s="199"/>
      <c r="C84" s="199"/>
      <c r="D84" s="199"/>
      <c r="E84" s="199"/>
      <c r="F84" s="199"/>
      <c r="G84" s="199"/>
      <c r="H84" s="203"/>
      <c r="I84" s="199"/>
      <c r="J84" s="199"/>
      <c r="K84" s="199"/>
      <c r="L84" s="199"/>
      <c r="M84" s="199"/>
      <c r="N84" s="199"/>
      <c r="O84" s="199"/>
      <c r="P84" s="199"/>
      <c r="Q84" s="199"/>
    </row>
    <row r="85" spans="1:17" x14ac:dyDescent="0.25">
      <c r="A85" s="199"/>
      <c r="B85" s="199"/>
      <c r="C85" s="199"/>
      <c r="D85" s="199"/>
      <c r="E85" s="199"/>
      <c r="F85" s="199"/>
      <c r="G85" s="199"/>
      <c r="H85" s="203"/>
      <c r="I85" s="199"/>
      <c r="J85" s="199"/>
      <c r="K85" s="199"/>
      <c r="L85" s="199"/>
      <c r="M85" s="199"/>
      <c r="N85" s="199"/>
      <c r="O85" s="199"/>
      <c r="P85" s="199"/>
      <c r="Q85" s="199"/>
    </row>
    <row r="86" spans="1:17" x14ac:dyDescent="0.25">
      <c r="A86" s="199"/>
      <c r="B86" s="199"/>
      <c r="C86" s="199"/>
      <c r="D86" s="199"/>
      <c r="E86" s="199"/>
      <c r="F86" s="199"/>
      <c r="G86" s="199"/>
      <c r="H86" s="203"/>
      <c r="I86" s="199"/>
      <c r="J86" s="199"/>
      <c r="K86" s="199"/>
      <c r="L86" s="199"/>
      <c r="M86" s="199"/>
      <c r="N86" s="199"/>
      <c r="O86" s="199"/>
      <c r="P86" s="199"/>
      <c r="Q86" s="199"/>
    </row>
    <row r="87" spans="1:17" x14ac:dyDescent="0.25">
      <c r="A87" s="199"/>
      <c r="B87" s="199"/>
      <c r="C87" s="199"/>
      <c r="D87" s="199"/>
      <c r="E87" s="199"/>
      <c r="F87" s="199"/>
      <c r="G87" s="199"/>
      <c r="H87" s="203"/>
      <c r="I87" s="199"/>
      <c r="J87" s="199"/>
      <c r="K87" s="199"/>
      <c r="L87" s="199"/>
      <c r="M87" s="199"/>
      <c r="N87" s="199"/>
      <c r="O87" s="199"/>
      <c r="P87" s="199"/>
      <c r="Q87" s="199"/>
    </row>
    <row r="88" spans="1:17" x14ac:dyDescent="0.25">
      <c r="A88" s="199"/>
      <c r="B88" s="199"/>
      <c r="C88" s="199"/>
      <c r="D88" s="199"/>
      <c r="E88" s="199"/>
      <c r="F88" s="199"/>
      <c r="G88" s="199"/>
      <c r="H88" s="203"/>
      <c r="I88" s="199"/>
      <c r="J88" s="199"/>
      <c r="K88" s="199"/>
      <c r="L88" s="199"/>
      <c r="M88" s="199"/>
      <c r="N88" s="199"/>
      <c r="O88" s="199"/>
      <c r="P88" s="199"/>
      <c r="Q88" s="199"/>
    </row>
    <row r="89" spans="1:17" x14ac:dyDescent="0.25">
      <c r="A89" s="199"/>
      <c r="B89" s="199"/>
      <c r="C89" s="199"/>
      <c r="D89" s="199"/>
      <c r="E89" s="199"/>
      <c r="F89" s="199"/>
      <c r="G89" s="199"/>
      <c r="H89" s="203"/>
      <c r="I89" s="199"/>
      <c r="J89" s="199"/>
      <c r="K89" s="199"/>
      <c r="L89" s="199"/>
      <c r="M89" s="199"/>
      <c r="N89" s="199"/>
      <c r="O89" s="199"/>
      <c r="P89" s="199"/>
      <c r="Q89" s="199"/>
    </row>
    <row r="90" spans="1:17" x14ac:dyDescent="0.25">
      <c r="A90" s="199"/>
      <c r="B90" s="199"/>
      <c r="C90" s="199"/>
      <c r="D90" s="199"/>
      <c r="E90" s="199"/>
      <c r="F90" s="199"/>
      <c r="G90" s="199"/>
      <c r="H90" s="203"/>
      <c r="I90" s="199"/>
      <c r="J90" s="199"/>
      <c r="K90" s="199"/>
      <c r="L90" s="199"/>
      <c r="M90" s="199"/>
      <c r="N90" s="199"/>
      <c r="O90" s="199"/>
      <c r="P90" s="199"/>
      <c r="Q90" s="199"/>
    </row>
    <row r="91" spans="1:17" x14ac:dyDescent="0.25">
      <c r="A91" s="199"/>
      <c r="B91" s="199"/>
      <c r="C91" s="199"/>
      <c r="D91" s="199"/>
      <c r="E91" s="199"/>
      <c r="F91" s="199"/>
      <c r="G91" s="199"/>
      <c r="H91" s="203"/>
      <c r="I91" s="199"/>
      <c r="J91" s="199"/>
      <c r="K91" s="199"/>
      <c r="L91" s="199"/>
      <c r="M91" s="199"/>
      <c r="N91" s="199"/>
      <c r="O91" s="199"/>
      <c r="P91" s="199"/>
      <c r="Q91" s="199"/>
    </row>
    <row r="92" spans="1:17" x14ac:dyDescent="0.25">
      <c r="A92" s="199"/>
      <c r="B92" s="199"/>
      <c r="C92" s="199"/>
      <c r="D92" s="199"/>
      <c r="E92" s="199"/>
      <c r="F92" s="199"/>
      <c r="G92" s="199"/>
      <c r="H92" s="203"/>
      <c r="I92" s="199"/>
      <c r="J92" s="199"/>
      <c r="K92" s="199"/>
      <c r="L92" s="199"/>
      <c r="M92" s="199"/>
      <c r="N92" s="199"/>
      <c r="O92" s="199"/>
      <c r="P92" s="199"/>
      <c r="Q92" s="199"/>
    </row>
    <row r="93" spans="1:17" x14ac:dyDescent="0.25">
      <c r="A93" s="199"/>
      <c r="B93" s="199"/>
      <c r="C93" s="199"/>
      <c r="D93" s="199"/>
      <c r="E93" s="199"/>
      <c r="F93" s="199"/>
      <c r="G93" s="199"/>
      <c r="H93" s="203"/>
      <c r="I93" s="199"/>
      <c r="J93" s="199"/>
      <c r="K93" s="199"/>
      <c r="L93" s="199"/>
      <c r="M93" s="199"/>
      <c r="N93" s="199"/>
      <c r="O93" s="199"/>
      <c r="P93" s="199"/>
      <c r="Q93" s="199"/>
    </row>
    <row r="94" spans="1:17" x14ac:dyDescent="0.25">
      <c r="A94" s="199"/>
      <c r="B94" s="199"/>
      <c r="C94" s="199"/>
      <c r="D94" s="199"/>
      <c r="E94" s="199"/>
      <c r="F94" s="199"/>
      <c r="G94" s="199"/>
      <c r="H94" s="203"/>
      <c r="I94" s="199"/>
      <c r="J94" s="199"/>
      <c r="K94" s="199"/>
      <c r="L94" s="199"/>
      <c r="M94" s="199"/>
      <c r="N94" s="199"/>
      <c r="O94" s="199"/>
      <c r="P94" s="199"/>
      <c r="Q94" s="199"/>
    </row>
    <row r="95" spans="1:17" x14ac:dyDescent="0.25">
      <c r="A95" s="199"/>
      <c r="B95" s="199"/>
      <c r="C95" s="199"/>
      <c r="D95" s="199"/>
      <c r="E95" s="199"/>
      <c r="F95" s="199"/>
      <c r="G95" s="199"/>
      <c r="H95" s="203"/>
      <c r="I95" s="199"/>
      <c r="J95" s="199"/>
      <c r="K95" s="199"/>
      <c r="L95" s="199"/>
      <c r="M95" s="199"/>
      <c r="N95" s="199"/>
      <c r="O95" s="199"/>
      <c r="P95" s="199"/>
      <c r="Q95" s="199"/>
    </row>
    <row r="96" spans="1:17" x14ac:dyDescent="0.25">
      <c r="A96" s="199"/>
      <c r="B96" s="199"/>
      <c r="C96" s="199"/>
      <c r="D96" s="199"/>
      <c r="E96" s="199"/>
      <c r="F96" s="199"/>
      <c r="G96" s="199"/>
      <c r="H96" s="203"/>
      <c r="I96" s="199"/>
      <c r="J96" s="199"/>
      <c r="K96" s="199"/>
      <c r="L96" s="199"/>
      <c r="M96" s="199"/>
      <c r="N96" s="199"/>
      <c r="O96" s="199"/>
      <c r="P96" s="199"/>
      <c r="Q96" s="199"/>
    </row>
    <row r="97" spans="1:17" x14ac:dyDescent="0.25">
      <c r="A97" s="199"/>
      <c r="B97" s="199"/>
      <c r="C97" s="199"/>
      <c r="D97" s="199"/>
      <c r="E97" s="199"/>
      <c r="F97" s="199"/>
      <c r="G97" s="199"/>
      <c r="H97" s="203"/>
      <c r="I97" s="199"/>
      <c r="J97" s="199"/>
      <c r="K97" s="199"/>
      <c r="L97" s="199"/>
      <c r="M97" s="199"/>
      <c r="N97" s="199"/>
      <c r="O97" s="199"/>
      <c r="P97" s="199"/>
      <c r="Q97" s="199"/>
    </row>
    <row r="98" spans="1:17" x14ac:dyDescent="0.25">
      <c r="A98" s="199"/>
      <c r="B98" s="199"/>
      <c r="C98" s="199"/>
      <c r="D98" s="199"/>
      <c r="E98" s="199"/>
      <c r="F98" s="199"/>
      <c r="G98" s="199"/>
      <c r="H98" s="203"/>
      <c r="I98" s="199"/>
      <c r="J98" s="199"/>
      <c r="K98" s="199"/>
      <c r="L98" s="199"/>
      <c r="M98" s="199"/>
      <c r="N98" s="199"/>
      <c r="O98" s="199"/>
      <c r="P98" s="199"/>
      <c r="Q98" s="199"/>
    </row>
    <row r="99" spans="1:17" x14ac:dyDescent="0.25">
      <c r="A99" s="199"/>
      <c r="B99" s="199"/>
      <c r="C99" s="199"/>
      <c r="D99" s="199"/>
      <c r="E99" s="199"/>
      <c r="F99" s="199"/>
      <c r="G99" s="199"/>
      <c r="H99" s="203"/>
      <c r="I99" s="199"/>
      <c r="J99" s="199"/>
      <c r="K99" s="199"/>
      <c r="L99" s="199"/>
      <c r="M99" s="199"/>
      <c r="N99" s="199"/>
      <c r="O99" s="199"/>
      <c r="P99" s="199"/>
      <c r="Q99" s="199"/>
    </row>
    <row r="100" spans="1:17" x14ac:dyDescent="0.25">
      <c r="A100" s="199"/>
      <c r="B100" s="199"/>
      <c r="C100" s="199"/>
      <c r="D100" s="199"/>
      <c r="E100" s="199"/>
      <c r="F100" s="199"/>
      <c r="G100" s="199"/>
      <c r="H100" s="203"/>
      <c r="I100" s="199"/>
      <c r="J100" s="199"/>
      <c r="K100" s="199"/>
      <c r="L100" s="199"/>
      <c r="M100" s="199"/>
      <c r="N100" s="199"/>
      <c r="O100" s="199"/>
      <c r="P100" s="199"/>
      <c r="Q100" s="199"/>
    </row>
    <row r="101" spans="1:17" x14ac:dyDescent="0.25">
      <c r="A101" s="199"/>
      <c r="B101" s="199"/>
      <c r="C101" s="199"/>
      <c r="D101" s="199"/>
      <c r="E101" s="199"/>
      <c r="F101" s="199"/>
      <c r="G101" s="199"/>
      <c r="H101" s="203"/>
      <c r="I101" s="199"/>
      <c r="J101" s="199"/>
      <c r="K101" s="199"/>
      <c r="L101" s="199"/>
      <c r="M101" s="199"/>
      <c r="N101" s="199"/>
      <c r="O101" s="199"/>
      <c r="P101" s="199"/>
      <c r="Q101" s="199"/>
    </row>
    <row r="102" spans="1:17" x14ac:dyDescent="0.25">
      <c r="A102" s="199"/>
      <c r="B102" s="199"/>
      <c r="C102" s="199"/>
      <c r="D102" s="199"/>
      <c r="E102" s="199"/>
      <c r="F102" s="199"/>
      <c r="G102" s="199"/>
      <c r="H102" s="203"/>
      <c r="I102" s="199"/>
      <c r="J102" s="199"/>
      <c r="K102" s="199"/>
      <c r="L102" s="199"/>
      <c r="M102" s="199"/>
      <c r="N102" s="199"/>
      <c r="O102" s="199"/>
      <c r="P102" s="199"/>
      <c r="Q102" s="199"/>
    </row>
    <row r="103" spans="1:17" x14ac:dyDescent="0.25">
      <c r="A103" s="199"/>
      <c r="B103" s="199"/>
      <c r="C103" s="199"/>
      <c r="D103" s="199"/>
      <c r="E103" s="199"/>
      <c r="F103" s="199"/>
      <c r="G103" s="199"/>
      <c r="H103" s="203"/>
      <c r="I103" s="199"/>
      <c r="J103" s="199"/>
      <c r="K103" s="199"/>
      <c r="L103" s="199"/>
      <c r="M103" s="199"/>
      <c r="N103" s="199"/>
      <c r="O103" s="199"/>
      <c r="P103" s="199"/>
      <c r="Q103" s="199"/>
    </row>
    <row r="104" spans="1:17" x14ac:dyDescent="0.25">
      <c r="A104" s="199"/>
      <c r="B104" s="199"/>
      <c r="C104" s="199"/>
      <c r="D104" s="199"/>
      <c r="E104" s="199"/>
      <c r="F104" s="199"/>
      <c r="G104" s="199"/>
      <c r="H104" s="203"/>
      <c r="I104" s="199"/>
      <c r="J104" s="199"/>
      <c r="K104" s="199"/>
      <c r="L104" s="199"/>
      <c r="M104" s="199"/>
      <c r="N104" s="199"/>
      <c r="O104" s="199"/>
      <c r="P104" s="199"/>
      <c r="Q104" s="199"/>
    </row>
    <row r="105" spans="1:17" x14ac:dyDescent="0.25">
      <c r="A105" s="199"/>
      <c r="B105" s="199"/>
      <c r="C105" s="199"/>
      <c r="D105" s="199"/>
      <c r="E105" s="199"/>
      <c r="F105" s="199"/>
      <c r="G105" s="199"/>
      <c r="H105" s="203"/>
      <c r="I105" s="199"/>
      <c r="J105" s="199"/>
      <c r="K105" s="199"/>
      <c r="L105" s="199"/>
      <c r="M105" s="199"/>
      <c r="N105" s="199"/>
      <c r="O105" s="199"/>
      <c r="P105" s="199"/>
      <c r="Q105" s="199"/>
    </row>
    <row r="106" spans="1:17" x14ac:dyDescent="0.25">
      <c r="A106" s="199"/>
      <c r="B106" s="199"/>
      <c r="C106" s="199"/>
      <c r="D106" s="199"/>
      <c r="E106" s="199"/>
      <c r="F106" s="199"/>
      <c r="G106" s="199"/>
      <c r="H106" s="203"/>
      <c r="I106" s="199"/>
      <c r="J106" s="199"/>
      <c r="K106" s="199"/>
      <c r="L106" s="199"/>
      <c r="M106" s="199"/>
      <c r="N106" s="199"/>
      <c r="O106" s="199"/>
      <c r="P106" s="199"/>
      <c r="Q106" s="199"/>
    </row>
    <row r="107" spans="1:17" x14ac:dyDescent="0.25">
      <c r="A107" s="199"/>
      <c r="B107" s="199"/>
      <c r="C107" s="199"/>
      <c r="D107" s="199"/>
      <c r="E107" s="199"/>
      <c r="F107" s="199"/>
      <c r="G107" s="199"/>
      <c r="H107" s="203"/>
      <c r="I107" s="199"/>
      <c r="J107" s="199"/>
      <c r="K107" s="199"/>
      <c r="L107" s="199"/>
      <c r="M107" s="199"/>
      <c r="N107" s="199"/>
      <c r="O107" s="199"/>
      <c r="P107" s="199"/>
      <c r="Q107" s="199"/>
    </row>
    <row r="108" spans="1:17" x14ac:dyDescent="0.25">
      <c r="A108" s="199"/>
      <c r="B108" s="199"/>
      <c r="C108" s="199"/>
      <c r="D108" s="199"/>
      <c r="E108" s="199"/>
      <c r="F108" s="199"/>
      <c r="G108" s="199"/>
      <c r="H108" s="203"/>
      <c r="I108" s="199"/>
      <c r="J108" s="199"/>
      <c r="K108" s="199"/>
      <c r="L108" s="199"/>
      <c r="M108" s="199"/>
      <c r="N108" s="199"/>
      <c r="O108" s="199"/>
      <c r="P108" s="199"/>
      <c r="Q108" s="199"/>
    </row>
    <row r="109" spans="1:17" x14ac:dyDescent="0.25">
      <c r="A109" s="199"/>
      <c r="B109" s="199"/>
      <c r="C109" s="199"/>
      <c r="D109" s="199"/>
      <c r="E109" s="199"/>
      <c r="F109" s="199"/>
      <c r="G109" s="199"/>
      <c r="H109" s="203"/>
      <c r="I109" s="199"/>
      <c r="J109" s="199"/>
      <c r="K109" s="199"/>
      <c r="L109" s="199"/>
      <c r="M109" s="199"/>
      <c r="N109" s="199"/>
      <c r="O109" s="199"/>
      <c r="P109" s="199"/>
      <c r="Q109" s="199"/>
    </row>
    <row r="110" spans="1:17" x14ac:dyDescent="0.25">
      <c r="A110" s="199"/>
      <c r="B110" s="199"/>
      <c r="C110" s="199"/>
      <c r="D110" s="199"/>
      <c r="E110" s="199"/>
      <c r="F110" s="199"/>
      <c r="G110" s="199"/>
      <c r="H110" s="203"/>
      <c r="I110" s="199"/>
      <c r="J110" s="199"/>
      <c r="K110" s="199"/>
      <c r="L110" s="199"/>
      <c r="M110" s="199"/>
      <c r="N110" s="199"/>
      <c r="O110" s="199"/>
      <c r="P110" s="199"/>
      <c r="Q110" s="199"/>
    </row>
    <row r="111" spans="1:17" x14ac:dyDescent="0.25">
      <c r="A111" s="199"/>
      <c r="B111" s="199"/>
      <c r="C111" s="199"/>
      <c r="D111" s="199"/>
      <c r="E111" s="199"/>
      <c r="F111" s="199"/>
      <c r="G111" s="199"/>
      <c r="H111" s="203"/>
      <c r="I111" s="199"/>
      <c r="J111" s="199"/>
      <c r="K111" s="199"/>
      <c r="L111" s="199"/>
      <c r="M111" s="199"/>
      <c r="N111" s="199"/>
      <c r="O111" s="199"/>
      <c r="P111" s="199"/>
      <c r="Q111" s="199"/>
    </row>
    <row r="112" spans="1:17" x14ac:dyDescent="0.25">
      <c r="A112" s="199"/>
      <c r="B112" s="199"/>
      <c r="C112" s="199"/>
      <c r="D112" s="199"/>
      <c r="E112" s="199"/>
      <c r="F112" s="199"/>
      <c r="G112" s="199"/>
      <c r="H112" s="203"/>
      <c r="I112" s="199"/>
      <c r="J112" s="199"/>
      <c r="K112" s="199"/>
      <c r="L112" s="199"/>
      <c r="M112" s="199"/>
      <c r="N112" s="199"/>
      <c r="O112" s="199"/>
      <c r="P112" s="199"/>
      <c r="Q112" s="199"/>
    </row>
    <row r="113" spans="1:17" x14ac:dyDescent="0.25">
      <c r="A113" s="199"/>
      <c r="B113" s="199"/>
      <c r="C113" s="199"/>
      <c r="D113" s="199"/>
      <c r="E113" s="199"/>
      <c r="F113" s="199"/>
      <c r="G113" s="199"/>
      <c r="H113" s="203"/>
      <c r="I113" s="199"/>
      <c r="J113" s="199"/>
      <c r="K113" s="199"/>
      <c r="L113" s="199"/>
      <c r="M113" s="199"/>
      <c r="N113" s="199"/>
      <c r="O113" s="199"/>
      <c r="P113" s="199"/>
      <c r="Q113" s="199"/>
    </row>
    <row r="114" spans="1:17" x14ac:dyDescent="0.25">
      <c r="A114" s="199"/>
      <c r="B114" s="199"/>
      <c r="C114" s="199"/>
      <c r="D114" s="199"/>
      <c r="E114" s="199"/>
      <c r="F114" s="199"/>
      <c r="G114" s="199"/>
      <c r="H114" s="203"/>
      <c r="I114" s="199"/>
      <c r="J114" s="199"/>
      <c r="K114" s="199"/>
      <c r="L114" s="199"/>
      <c r="M114" s="199"/>
      <c r="N114" s="199"/>
      <c r="O114" s="199"/>
      <c r="P114" s="199"/>
      <c r="Q114" s="199"/>
    </row>
    <row r="115" spans="1:17" x14ac:dyDescent="0.25">
      <c r="A115" s="199"/>
      <c r="B115" s="199"/>
      <c r="C115" s="199"/>
      <c r="D115" s="199"/>
      <c r="E115" s="199"/>
      <c r="F115" s="199"/>
      <c r="G115" s="199"/>
      <c r="H115" s="203"/>
      <c r="I115" s="199"/>
      <c r="J115" s="199"/>
      <c r="K115" s="199"/>
      <c r="L115" s="199"/>
      <c r="M115" s="199"/>
      <c r="N115" s="199"/>
      <c r="O115" s="199"/>
      <c r="P115" s="199"/>
      <c r="Q115" s="199"/>
    </row>
    <row r="116" spans="1:17" x14ac:dyDescent="0.25">
      <c r="A116" s="199"/>
      <c r="B116" s="199"/>
      <c r="C116" s="199"/>
      <c r="D116" s="199"/>
      <c r="E116" s="199"/>
      <c r="F116" s="199"/>
      <c r="G116" s="199"/>
      <c r="H116" s="203"/>
      <c r="I116" s="199"/>
      <c r="J116" s="199"/>
      <c r="K116" s="199"/>
      <c r="L116" s="199"/>
      <c r="M116" s="199"/>
      <c r="N116" s="199"/>
      <c r="O116" s="199"/>
      <c r="P116" s="199"/>
      <c r="Q116" s="199"/>
    </row>
    <row r="117" spans="1:17" x14ac:dyDescent="0.25">
      <c r="A117" s="199"/>
      <c r="B117" s="199"/>
      <c r="C117" s="199"/>
      <c r="D117" s="199"/>
      <c r="E117" s="199"/>
      <c r="F117" s="199"/>
      <c r="G117" s="199"/>
      <c r="H117" s="203"/>
      <c r="I117" s="199"/>
      <c r="J117" s="199"/>
      <c r="K117" s="199"/>
      <c r="L117" s="199"/>
      <c r="M117" s="199"/>
      <c r="N117" s="199"/>
      <c r="O117" s="199"/>
      <c r="P117" s="199"/>
      <c r="Q117" s="199"/>
    </row>
    <row r="118" spans="1:17" x14ac:dyDescent="0.25">
      <c r="A118" s="199"/>
      <c r="B118" s="199"/>
      <c r="C118" s="199"/>
      <c r="D118" s="199"/>
      <c r="E118" s="199"/>
      <c r="F118" s="199"/>
      <c r="G118" s="199"/>
      <c r="H118" s="203"/>
      <c r="I118" s="199"/>
      <c r="J118" s="199"/>
      <c r="K118" s="199"/>
      <c r="L118" s="199"/>
      <c r="M118" s="199"/>
      <c r="N118" s="199"/>
      <c r="O118" s="199"/>
      <c r="P118" s="199"/>
      <c r="Q118" s="199"/>
    </row>
    <row r="119" spans="1:17" x14ac:dyDescent="0.25">
      <c r="A119" s="199"/>
      <c r="B119" s="199"/>
      <c r="C119" s="199"/>
      <c r="D119" s="199"/>
      <c r="E119" s="199"/>
      <c r="F119" s="199"/>
      <c r="G119" s="199"/>
      <c r="H119" s="203"/>
      <c r="I119" s="199"/>
      <c r="J119" s="199"/>
      <c r="K119" s="199"/>
      <c r="L119" s="199"/>
      <c r="M119" s="199"/>
      <c r="N119" s="199"/>
      <c r="O119" s="199"/>
      <c r="P119" s="199"/>
      <c r="Q119" s="199"/>
    </row>
    <row r="120" spans="1:17" x14ac:dyDescent="0.25">
      <c r="A120" s="199"/>
      <c r="B120" s="199"/>
      <c r="C120" s="199"/>
      <c r="D120" s="199"/>
      <c r="E120" s="199"/>
      <c r="F120" s="199"/>
      <c r="G120" s="199"/>
      <c r="H120" s="203"/>
      <c r="I120" s="199"/>
      <c r="J120" s="199"/>
      <c r="K120" s="199"/>
      <c r="L120" s="199"/>
      <c r="M120" s="199"/>
      <c r="N120" s="199"/>
      <c r="O120" s="199"/>
      <c r="P120" s="199"/>
      <c r="Q120" s="199"/>
    </row>
    <row r="121" spans="1:17" x14ac:dyDescent="0.25">
      <c r="A121" s="199"/>
      <c r="B121" s="199"/>
      <c r="C121" s="199"/>
      <c r="D121" s="199"/>
      <c r="E121" s="199"/>
      <c r="F121" s="199"/>
      <c r="G121" s="199"/>
      <c r="H121" s="203"/>
      <c r="I121" s="199"/>
      <c r="J121" s="199"/>
      <c r="K121" s="199"/>
      <c r="L121" s="199"/>
      <c r="M121" s="199"/>
      <c r="N121" s="199"/>
      <c r="O121" s="199"/>
      <c r="P121" s="199"/>
      <c r="Q121" s="199"/>
    </row>
    <row r="122" spans="1:17" x14ac:dyDescent="0.25">
      <c r="A122" s="199"/>
      <c r="B122" s="199"/>
      <c r="C122" s="199"/>
      <c r="D122" s="199"/>
      <c r="E122" s="199"/>
      <c r="F122" s="199"/>
      <c r="G122" s="199"/>
      <c r="H122" s="203"/>
      <c r="I122" s="199"/>
      <c r="J122" s="199"/>
      <c r="K122" s="199"/>
      <c r="L122" s="199"/>
      <c r="M122" s="199"/>
      <c r="N122" s="199"/>
      <c r="O122" s="199"/>
      <c r="P122" s="199"/>
      <c r="Q122" s="199"/>
    </row>
    <row r="123" spans="1:17" x14ac:dyDescent="0.25">
      <c r="A123" s="199"/>
      <c r="B123" s="199"/>
      <c r="C123" s="199"/>
      <c r="D123" s="199"/>
      <c r="E123" s="199"/>
      <c r="F123" s="199"/>
      <c r="G123" s="199"/>
      <c r="H123" s="203"/>
      <c r="I123" s="199"/>
      <c r="J123" s="199"/>
      <c r="K123" s="199"/>
      <c r="L123" s="199"/>
      <c r="M123" s="199"/>
      <c r="N123" s="199"/>
      <c r="O123" s="199"/>
      <c r="P123" s="199"/>
      <c r="Q123" s="199"/>
    </row>
    <row r="124" spans="1:17" x14ac:dyDescent="0.25">
      <c r="A124" s="199"/>
      <c r="B124" s="199"/>
      <c r="C124" s="199"/>
      <c r="D124" s="199"/>
      <c r="E124" s="199"/>
      <c r="F124" s="199"/>
      <c r="G124" s="199"/>
      <c r="H124" s="203"/>
      <c r="I124" s="199"/>
      <c r="J124" s="199"/>
      <c r="K124" s="199"/>
      <c r="L124" s="199"/>
      <c r="M124" s="199"/>
      <c r="N124" s="199"/>
      <c r="O124" s="199"/>
      <c r="P124" s="199"/>
      <c r="Q124" s="199"/>
    </row>
    <row r="125" spans="1:17" x14ac:dyDescent="0.25">
      <c r="A125" s="199"/>
      <c r="B125" s="199"/>
      <c r="C125" s="199"/>
      <c r="D125" s="199"/>
      <c r="E125" s="199"/>
      <c r="F125" s="199"/>
      <c r="G125" s="199"/>
      <c r="H125" s="203"/>
      <c r="I125" s="199"/>
      <c r="J125" s="199"/>
      <c r="K125" s="199"/>
      <c r="L125" s="199"/>
      <c r="M125" s="199"/>
      <c r="N125" s="199"/>
      <c r="O125" s="199"/>
      <c r="P125" s="199"/>
      <c r="Q125" s="199"/>
    </row>
    <row r="126" spans="1:17" x14ac:dyDescent="0.25">
      <c r="A126" s="199"/>
      <c r="B126" s="199"/>
      <c r="C126" s="199"/>
      <c r="D126" s="199"/>
      <c r="E126" s="199"/>
      <c r="F126" s="199"/>
      <c r="G126" s="199"/>
      <c r="H126" s="203"/>
      <c r="I126" s="199"/>
      <c r="J126" s="199"/>
      <c r="K126" s="199"/>
      <c r="L126" s="199"/>
      <c r="M126" s="199"/>
      <c r="N126" s="199"/>
      <c r="O126" s="199"/>
      <c r="P126" s="199"/>
      <c r="Q126" s="199"/>
    </row>
    <row r="127" spans="1:17" x14ac:dyDescent="0.25">
      <c r="A127" s="199"/>
      <c r="B127" s="199"/>
      <c r="C127" s="199"/>
      <c r="D127" s="199"/>
      <c r="E127" s="199"/>
      <c r="F127" s="199"/>
      <c r="G127" s="199"/>
      <c r="H127" s="203"/>
      <c r="I127" s="199"/>
      <c r="J127" s="199"/>
      <c r="K127" s="199"/>
      <c r="L127" s="199"/>
      <c r="M127" s="199"/>
      <c r="N127" s="199"/>
      <c r="O127" s="199"/>
      <c r="P127" s="199"/>
      <c r="Q127" s="199"/>
    </row>
    <row r="128" spans="1:17" x14ac:dyDescent="0.25">
      <c r="A128" s="199"/>
      <c r="B128" s="199"/>
      <c r="C128" s="199"/>
      <c r="D128" s="199"/>
      <c r="E128" s="199"/>
      <c r="F128" s="199"/>
      <c r="G128" s="199"/>
      <c r="H128" s="203"/>
      <c r="I128" s="199"/>
      <c r="J128" s="199"/>
      <c r="K128" s="199"/>
      <c r="L128" s="199"/>
      <c r="M128" s="199"/>
      <c r="N128" s="199"/>
      <c r="O128" s="199"/>
      <c r="P128" s="199"/>
      <c r="Q128" s="199"/>
    </row>
    <row r="129" spans="1:17" x14ac:dyDescent="0.25">
      <c r="A129" s="199"/>
      <c r="B129" s="199"/>
      <c r="C129" s="199"/>
      <c r="D129" s="199"/>
      <c r="E129" s="199"/>
      <c r="F129" s="199"/>
      <c r="G129" s="199"/>
      <c r="H129" s="203"/>
      <c r="I129" s="199"/>
      <c r="J129" s="199"/>
      <c r="K129" s="199"/>
      <c r="L129" s="199"/>
      <c r="M129" s="199"/>
      <c r="N129" s="199"/>
      <c r="O129" s="199"/>
      <c r="P129" s="199"/>
      <c r="Q129" s="199"/>
    </row>
    <row r="130" spans="1:17" x14ac:dyDescent="0.25">
      <c r="A130" s="199"/>
      <c r="B130" s="199"/>
      <c r="C130" s="199"/>
      <c r="D130" s="199"/>
      <c r="E130" s="199"/>
      <c r="F130" s="199"/>
      <c r="G130" s="199"/>
      <c r="H130" s="203"/>
      <c r="I130" s="199"/>
      <c r="J130" s="199"/>
      <c r="K130" s="199"/>
      <c r="L130" s="199"/>
      <c r="M130" s="199"/>
      <c r="N130" s="199"/>
      <c r="O130" s="199"/>
      <c r="P130" s="199"/>
      <c r="Q130" s="199"/>
    </row>
    <row r="131" spans="1:17" x14ac:dyDescent="0.25">
      <c r="A131" s="199"/>
      <c r="B131" s="199"/>
      <c r="C131" s="199"/>
      <c r="D131" s="199"/>
      <c r="E131" s="199"/>
      <c r="F131" s="199"/>
      <c r="G131" s="199"/>
      <c r="H131" s="203"/>
      <c r="I131" s="199"/>
      <c r="J131" s="199"/>
      <c r="K131" s="199"/>
      <c r="L131" s="199"/>
      <c r="M131" s="199"/>
      <c r="N131" s="199"/>
      <c r="O131" s="199"/>
      <c r="P131" s="199"/>
      <c r="Q131" s="199"/>
    </row>
    <row r="132" spans="1:17" x14ac:dyDescent="0.25">
      <c r="A132" s="199"/>
      <c r="B132" s="199"/>
      <c r="C132" s="199"/>
      <c r="D132" s="199"/>
      <c r="E132" s="199"/>
      <c r="F132" s="199"/>
      <c r="G132" s="199"/>
      <c r="H132" s="203"/>
      <c r="I132" s="199"/>
      <c r="J132" s="199"/>
      <c r="K132" s="199"/>
      <c r="L132" s="199"/>
      <c r="M132" s="199"/>
      <c r="N132" s="199"/>
      <c r="O132" s="199"/>
      <c r="P132" s="199"/>
      <c r="Q132" s="199"/>
    </row>
    <row r="133" spans="1:17" x14ac:dyDescent="0.25">
      <c r="A133" s="199"/>
      <c r="B133" s="199"/>
      <c r="C133" s="199"/>
      <c r="D133" s="199"/>
      <c r="E133" s="199"/>
      <c r="F133" s="199"/>
      <c r="G133" s="199"/>
      <c r="H133" s="203"/>
      <c r="I133" s="199"/>
      <c r="J133" s="199"/>
      <c r="K133" s="199"/>
      <c r="L133" s="199"/>
      <c r="M133" s="199"/>
      <c r="N133" s="199"/>
      <c r="O133" s="199"/>
      <c r="P133" s="199"/>
      <c r="Q133" s="199"/>
    </row>
    <row r="134" spans="1:17" x14ac:dyDescent="0.25">
      <c r="A134" s="199"/>
      <c r="B134" s="199"/>
      <c r="C134" s="199"/>
      <c r="D134" s="199"/>
      <c r="E134" s="199"/>
      <c r="F134" s="199"/>
      <c r="G134" s="199"/>
      <c r="H134" s="203"/>
      <c r="I134" s="199"/>
      <c r="J134" s="199"/>
      <c r="K134" s="199"/>
      <c r="L134" s="199"/>
      <c r="M134" s="199"/>
      <c r="N134" s="199"/>
      <c r="O134" s="199"/>
      <c r="P134" s="199"/>
      <c r="Q134" s="199"/>
    </row>
    <row r="135" spans="1:17" x14ac:dyDescent="0.25">
      <c r="A135" s="199"/>
      <c r="B135" s="199"/>
      <c r="C135" s="199"/>
      <c r="D135" s="199"/>
      <c r="E135" s="199"/>
      <c r="F135" s="199"/>
      <c r="G135" s="199"/>
      <c r="H135" s="203"/>
      <c r="I135" s="199"/>
      <c r="J135" s="199"/>
      <c r="K135" s="199"/>
      <c r="L135" s="199"/>
      <c r="M135" s="199"/>
      <c r="N135" s="199"/>
      <c r="O135" s="199"/>
      <c r="P135" s="199"/>
      <c r="Q135" s="199"/>
    </row>
    <row r="136" spans="1:17" x14ac:dyDescent="0.25">
      <c r="A136" s="199"/>
      <c r="B136" s="199"/>
      <c r="C136" s="199"/>
      <c r="D136" s="199"/>
      <c r="E136" s="199"/>
      <c r="F136" s="199"/>
      <c r="G136" s="199"/>
      <c r="H136" s="203"/>
      <c r="I136" s="199"/>
      <c r="J136" s="199"/>
      <c r="K136" s="199"/>
      <c r="L136" s="199"/>
      <c r="M136" s="199"/>
      <c r="N136" s="199"/>
      <c r="O136" s="199"/>
      <c r="P136" s="199"/>
      <c r="Q136" s="199"/>
    </row>
    <row r="137" spans="1:17" x14ac:dyDescent="0.25">
      <c r="A137" s="199"/>
      <c r="B137" s="199"/>
      <c r="C137" s="199"/>
      <c r="D137" s="199"/>
      <c r="E137" s="199"/>
      <c r="F137" s="199"/>
      <c r="G137" s="199"/>
      <c r="H137" s="203"/>
      <c r="I137" s="199"/>
      <c r="J137" s="199"/>
      <c r="K137" s="199"/>
      <c r="L137" s="199"/>
      <c r="M137" s="199"/>
      <c r="N137" s="199"/>
      <c r="O137" s="199"/>
      <c r="P137" s="199"/>
      <c r="Q137" s="199"/>
    </row>
    <row r="138" spans="1:17" x14ac:dyDescent="0.25">
      <c r="A138" s="199"/>
      <c r="B138" s="199"/>
      <c r="C138" s="199"/>
      <c r="D138" s="199"/>
      <c r="E138" s="199"/>
      <c r="F138" s="199"/>
      <c r="G138" s="199"/>
      <c r="H138" s="203"/>
      <c r="I138" s="199"/>
      <c r="J138" s="199"/>
      <c r="K138" s="199"/>
      <c r="L138" s="199"/>
      <c r="M138" s="199"/>
      <c r="N138" s="199"/>
      <c r="O138" s="199"/>
      <c r="P138" s="199"/>
      <c r="Q138" s="199"/>
    </row>
    <row r="139" spans="1:17" x14ac:dyDescent="0.25">
      <c r="A139" s="199"/>
      <c r="B139" s="199"/>
      <c r="C139" s="199"/>
      <c r="D139" s="199"/>
      <c r="E139" s="199"/>
      <c r="F139" s="199"/>
      <c r="G139" s="199"/>
      <c r="H139" s="203"/>
      <c r="I139" s="199"/>
      <c r="J139" s="199"/>
      <c r="K139" s="199"/>
      <c r="L139" s="199"/>
      <c r="M139" s="199"/>
      <c r="N139" s="199"/>
      <c r="O139" s="199"/>
      <c r="P139" s="199"/>
      <c r="Q139" s="199"/>
    </row>
    <row r="140" spans="1:17" x14ac:dyDescent="0.25">
      <c r="A140" s="199"/>
      <c r="B140" s="199"/>
      <c r="C140" s="199"/>
      <c r="D140" s="199"/>
      <c r="E140" s="199"/>
      <c r="F140" s="199"/>
      <c r="G140" s="199"/>
      <c r="H140" s="203"/>
      <c r="I140" s="199"/>
      <c r="J140" s="199"/>
      <c r="K140" s="199"/>
      <c r="L140" s="199"/>
      <c r="M140" s="199"/>
      <c r="N140" s="199"/>
      <c r="O140" s="199"/>
      <c r="P140" s="199"/>
      <c r="Q140" s="199"/>
    </row>
    <row r="141" spans="1:17" x14ac:dyDescent="0.25">
      <c r="A141" s="199"/>
      <c r="B141" s="199"/>
      <c r="C141" s="199"/>
      <c r="D141" s="199"/>
      <c r="E141" s="199"/>
      <c r="F141" s="199"/>
      <c r="G141" s="199"/>
      <c r="H141" s="203"/>
      <c r="I141" s="199"/>
      <c r="J141" s="199"/>
      <c r="K141" s="199"/>
      <c r="L141" s="199"/>
      <c r="M141" s="199"/>
      <c r="N141" s="199"/>
      <c r="O141" s="199"/>
      <c r="P141" s="199"/>
      <c r="Q141" s="199"/>
    </row>
    <row r="142" spans="1:17" x14ac:dyDescent="0.25">
      <c r="A142" s="199"/>
      <c r="B142" s="199"/>
      <c r="C142" s="199"/>
      <c r="D142" s="199"/>
      <c r="E142" s="199"/>
      <c r="F142" s="199"/>
      <c r="G142" s="199"/>
      <c r="H142" s="203"/>
      <c r="I142" s="199"/>
      <c r="J142" s="199"/>
      <c r="K142" s="199"/>
      <c r="L142" s="199"/>
      <c r="M142" s="199"/>
      <c r="N142" s="199"/>
      <c r="O142" s="199"/>
      <c r="P142" s="199"/>
      <c r="Q142" s="199"/>
    </row>
    <row r="143" spans="1:17" x14ac:dyDescent="0.25">
      <c r="A143" s="199"/>
      <c r="B143" s="199"/>
      <c r="C143" s="199"/>
      <c r="D143" s="199"/>
      <c r="E143" s="199"/>
      <c r="F143" s="199"/>
      <c r="G143" s="199"/>
      <c r="H143" s="203"/>
      <c r="I143" s="199"/>
      <c r="J143" s="199"/>
      <c r="K143" s="199"/>
      <c r="L143" s="199"/>
      <c r="M143" s="199"/>
      <c r="N143" s="199"/>
      <c r="O143" s="199"/>
      <c r="P143" s="199"/>
      <c r="Q143" s="199"/>
    </row>
    <row r="144" spans="1:17" x14ac:dyDescent="0.25">
      <c r="A144" s="199"/>
      <c r="B144" s="199"/>
      <c r="C144" s="199"/>
      <c r="D144" s="199"/>
      <c r="E144" s="199"/>
      <c r="F144" s="199"/>
      <c r="G144" s="199"/>
      <c r="H144" s="203"/>
      <c r="I144" s="199"/>
      <c r="J144" s="199"/>
      <c r="K144" s="199"/>
      <c r="L144" s="199"/>
      <c r="M144" s="199"/>
      <c r="N144" s="199"/>
      <c r="O144" s="199"/>
      <c r="P144" s="199"/>
      <c r="Q144" s="199"/>
    </row>
    <row r="145" spans="1:17" x14ac:dyDescent="0.25">
      <c r="A145" s="199"/>
      <c r="B145" s="199"/>
      <c r="C145" s="199"/>
      <c r="D145" s="199"/>
      <c r="E145" s="199"/>
      <c r="F145" s="199"/>
      <c r="G145" s="199"/>
      <c r="H145" s="203"/>
      <c r="I145" s="199"/>
      <c r="J145" s="199"/>
      <c r="K145" s="199"/>
      <c r="L145" s="199"/>
      <c r="M145" s="199"/>
      <c r="N145" s="199"/>
      <c r="O145" s="199"/>
      <c r="P145" s="199"/>
      <c r="Q145" s="199"/>
    </row>
    <row r="146" spans="1:17" x14ac:dyDescent="0.25">
      <c r="A146" s="199"/>
      <c r="B146" s="199"/>
      <c r="C146" s="199"/>
      <c r="D146" s="199"/>
      <c r="E146" s="199"/>
      <c r="F146" s="199"/>
      <c r="G146" s="199"/>
      <c r="H146" s="203"/>
      <c r="I146" s="199"/>
      <c r="J146" s="199"/>
      <c r="K146" s="199"/>
      <c r="L146" s="199"/>
      <c r="M146" s="199"/>
      <c r="N146" s="199"/>
      <c r="O146" s="199"/>
      <c r="P146" s="199"/>
      <c r="Q146" s="199"/>
    </row>
    <row r="147" spans="1:17" x14ac:dyDescent="0.25">
      <c r="A147" s="199"/>
      <c r="B147" s="199"/>
      <c r="C147" s="199"/>
      <c r="D147" s="199"/>
      <c r="E147" s="199"/>
      <c r="F147" s="199"/>
      <c r="G147" s="199"/>
      <c r="H147" s="203"/>
      <c r="I147" s="199"/>
      <c r="J147" s="199"/>
      <c r="K147" s="199"/>
      <c r="L147" s="199"/>
      <c r="M147" s="199"/>
      <c r="N147" s="199"/>
      <c r="O147" s="199"/>
      <c r="P147" s="199"/>
      <c r="Q147" s="199"/>
    </row>
    <row r="148" spans="1:17" x14ac:dyDescent="0.25">
      <c r="A148" s="199"/>
      <c r="B148" s="199"/>
      <c r="C148" s="199"/>
      <c r="D148" s="199"/>
      <c r="E148" s="199"/>
      <c r="F148" s="199"/>
      <c r="G148" s="199"/>
      <c r="H148" s="203"/>
      <c r="I148" s="199"/>
      <c r="J148" s="199"/>
      <c r="K148" s="199"/>
      <c r="L148" s="199"/>
      <c r="M148" s="199"/>
      <c r="N148" s="199"/>
      <c r="O148" s="199"/>
      <c r="P148" s="199"/>
      <c r="Q148" s="199"/>
    </row>
    <row r="149" spans="1:17" x14ac:dyDescent="0.25">
      <c r="A149" s="199"/>
      <c r="B149" s="199"/>
      <c r="C149" s="199"/>
      <c r="D149" s="199"/>
      <c r="E149" s="199"/>
      <c r="F149" s="199"/>
      <c r="G149" s="199"/>
      <c r="H149" s="203"/>
      <c r="I149" s="199"/>
      <c r="J149" s="199"/>
      <c r="K149" s="199"/>
      <c r="L149" s="199"/>
      <c r="M149" s="199"/>
      <c r="N149" s="199"/>
      <c r="O149" s="199"/>
      <c r="P149" s="199"/>
      <c r="Q149" s="199"/>
    </row>
    <row r="150" spans="1:17" x14ac:dyDescent="0.25">
      <c r="A150" s="199"/>
      <c r="B150" s="199"/>
      <c r="C150" s="199"/>
      <c r="D150" s="199"/>
      <c r="E150" s="199"/>
      <c r="F150" s="199"/>
      <c r="G150" s="199"/>
      <c r="H150" s="203"/>
      <c r="I150" s="199"/>
      <c r="J150" s="199"/>
      <c r="K150" s="199"/>
      <c r="L150" s="199"/>
      <c r="M150" s="199"/>
      <c r="N150" s="199"/>
      <c r="O150" s="199"/>
      <c r="P150" s="199"/>
      <c r="Q150" s="199"/>
    </row>
    <row r="151" spans="1:17" x14ac:dyDescent="0.25">
      <c r="A151" s="199"/>
      <c r="B151" s="199"/>
      <c r="C151" s="199"/>
      <c r="D151" s="199"/>
      <c r="E151" s="199"/>
      <c r="F151" s="199"/>
      <c r="G151" s="199"/>
      <c r="H151" s="203"/>
      <c r="I151" s="199"/>
      <c r="J151" s="199"/>
      <c r="K151" s="199"/>
      <c r="L151" s="199"/>
      <c r="M151" s="199"/>
      <c r="N151" s="199"/>
      <c r="O151" s="199"/>
      <c r="P151" s="199"/>
      <c r="Q151" s="199"/>
    </row>
    <row r="152" spans="1:17" x14ac:dyDescent="0.25">
      <c r="A152" s="199"/>
      <c r="B152" s="199"/>
      <c r="C152" s="199"/>
      <c r="D152" s="199"/>
      <c r="E152" s="199"/>
      <c r="F152" s="199"/>
      <c r="G152" s="199"/>
      <c r="H152" s="203"/>
      <c r="I152" s="199"/>
      <c r="J152" s="199"/>
      <c r="K152" s="199"/>
      <c r="L152" s="199"/>
      <c r="M152" s="199"/>
      <c r="N152" s="199"/>
      <c r="O152" s="199"/>
      <c r="P152" s="199"/>
      <c r="Q152" s="199"/>
    </row>
    <row r="153" spans="1:17" x14ac:dyDescent="0.25">
      <c r="A153" s="199"/>
      <c r="B153" s="199"/>
      <c r="C153" s="199"/>
      <c r="D153" s="199"/>
      <c r="E153" s="199"/>
      <c r="F153" s="199"/>
      <c r="G153" s="199"/>
      <c r="H153" s="203"/>
      <c r="I153" s="199"/>
      <c r="J153" s="199"/>
      <c r="K153" s="199"/>
      <c r="L153" s="199"/>
      <c r="M153" s="199"/>
      <c r="N153" s="199"/>
      <c r="O153" s="199"/>
      <c r="P153" s="199"/>
      <c r="Q153" s="199"/>
    </row>
    <row r="154" spans="1:17" x14ac:dyDescent="0.25">
      <c r="A154" s="199"/>
      <c r="B154" s="199"/>
      <c r="C154" s="199"/>
      <c r="D154" s="199"/>
      <c r="E154" s="199"/>
      <c r="F154" s="199"/>
      <c r="G154" s="199"/>
      <c r="H154" s="203"/>
      <c r="I154" s="199"/>
      <c r="J154" s="199"/>
      <c r="K154" s="199"/>
      <c r="L154" s="199"/>
      <c r="M154" s="199"/>
      <c r="N154" s="199"/>
      <c r="O154" s="199"/>
      <c r="P154" s="199"/>
      <c r="Q154" s="199"/>
    </row>
    <row r="155" spans="1:17" x14ac:dyDescent="0.25">
      <c r="A155" s="199"/>
      <c r="B155" s="199"/>
      <c r="C155" s="199"/>
      <c r="D155" s="199"/>
      <c r="E155" s="199"/>
      <c r="F155" s="199"/>
      <c r="G155" s="199"/>
      <c r="H155" s="203"/>
      <c r="I155" s="199"/>
      <c r="J155" s="199"/>
      <c r="K155" s="199"/>
      <c r="L155" s="199"/>
      <c r="M155" s="199"/>
      <c r="N155" s="199"/>
      <c r="O155" s="199"/>
      <c r="P155" s="199"/>
      <c r="Q155" s="199"/>
    </row>
    <row r="156" spans="1:17" x14ac:dyDescent="0.25">
      <c r="A156" s="199"/>
      <c r="B156" s="199"/>
      <c r="C156" s="199"/>
      <c r="D156" s="199"/>
      <c r="E156" s="199"/>
      <c r="F156" s="199"/>
      <c r="G156" s="199"/>
      <c r="H156" s="203"/>
      <c r="I156" s="199"/>
      <c r="J156" s="199"/>
      <c r="K156" s="199"/>
      <c r="L156" s="199"/>
      <c r="M156" s="199"/>
      <c r="N156" s="199"/>
      <c r="O156" s="199"/>
      <c r="P156" s="199"/>
      <c r="Q156" s="199"/>
    </row>
    <row r="157" spans="1:17" x14ac:dyDescent="0.25">
      <c r="A157" s="199"/>
      <c r="B157" s="199"/>
      <c r="C157" s="199"/>
      <c r="D157" s="199"/>
      <c r="E157" s="199"/>
      <c r="F157" s="199"/>
      <c r="G157" s="199"/>
      <c r="H157" s="203"/>
      <c r="I157" s="199"/>
      <c r="J157" s="199"/>
      <c r="K157" s="199"/>
      <c r="L157" s="199"/>
      <c r="M157" s="199"/>
      <c r="N157" s="199"/>
      <c r="O157" s="199"/>
      <c r="P157" s="199"/>
      <c r="Q157" s="199"/>
    </row>
    <row r="158" spans="1:17" x14ac:dyDescent="0.25">
      <c r="A158" s="199"/>
      <c r="B158" s="199"/>
      <c r="C158" s="199"/>
      <c r="D158" s="199"/>
      <c r="E158" s="199"/>
      <c r="F158" s="199"/>
      <c r="G158" s="199"/>
      <c r="H158" s="203"/>
      <c r="I158" s="199"/>
      <c r="J158" s="199"/>
      <c r="K158" s="199"/>
      <c r="L158" s="199"/>
      <c r="M158" s="199"/>
      <c r="N158" s="199"/>
      <c r="O158" s="199"/>
      <c r="P158" s="199"/>
      <c r="Q158" s="199"/>
    </row>
    <row r="159" spans="1:17" x14ac:dyDescent="0.25">
      <c r="A159" s="199"/>
      <c r="B159" s="199"/>
      <c r="C159" s="199"/>
      <c r="D159" s="199"/>
      <c r="E159" s="199"/>
      <c r="F159" s="199"/>
      <c r="G159" s="199"/>
      <c r="H159" s="203"/>
      <c r="I159" s="199"/>
      <c r="J159" s="199"/>
      <c r="K159" s="199"/>
      <c r="L159" s="199"/>
      <c r="M159" s="199"/>
      <c r="N159" s="199"/>
      <c r="O159" s="199"/>
      <c r="P159" s="199"/>
      <c r="Q159" s="199"/>
    </row>
    <row r="160" spans="1:17" x14ac:dyDescent="0.25">
      <c r="A160" s="199"/>
      <c r="B160" s="199"/>
      <c r="C160" s="199"/>
      <c r="D160" s="199"/>
      <c r="E160" s="199"/>
      <c r="F160" s="199"/>
      <c r="G160" s="199"/>
      <c r="H160" s="203"/>
      <c r="I160" s="199"/>
      <c r="J160" s="199"/>
      <c r="K160" s="199"/>
      <c r="L160" s="199"/>
      <c r="M160" s="199"/>
      <c r="N160" s="199"/>
      <c r="O160" s="199"/>
      <c r="P160" s="199"/>
      <c r="Q160" s="199"/>
    </row>
    <row r="161" spans="1:17" x14ac:dyDescent="0.25">
      <c r="A161" s="199"/>
      <c r="B161" s="199"/>
      <c r="C161" s="199"/>
      <c r="D161" s="199"/>
      <c r="E161" s="199"/>
      <c r="F161" s="199"/>
      <c r="G161" s="199"/>
      <c r="H161" s="203"/>
      <c r="I161" s="199"/>
      <c r="J161" s="199"/>
      <c r="K161" s="199"/>
      <c r="L161" s="199"/>
      <c r="M161" s="199"/>
      <c r="N161" s="199"/>
      <c r="O161" s="199"/>
      <c r="P161" s="199"/>
      <c r="Q161" s="199"/>
    </row>
    <row r="162" spans="1:17" x14ac:dyDescent="0.25">
      <c r="A162" s="199"/>
      <c r="B162" s="199"/>
      <c r="C162" s="199"/>
      <c r="D162" s="199"/>
      <c r="E162" s="199"/>
      <c r="F162" s="199"/>
      <c r="G162" s="199"/>
      <c r="H162" s="203"/>
      <c r="I162" s="199"/>
      <c r="J162" s="199"/>
      <c r="K162" s="199"/>
      <c r="L162" s="199"/>
      <c r="M162" s="199"/>
      <c r="N162" s="199"/>
      <c r="O162" s="199"/>
      <c r="P162" s="199"/>
      <c r="Q162" s="199"/>
    </row>
    <row r="163" spans="1:17" x14ac:dyDescent="0.25">
      <c r="A163" s="199"/>
      <c r="B163" s="199"/>
      <c r="C163" s="199"/>
      <c r="D163" s="199"/>
      <c r="E163" s="199"/>
      <c r="F163" s="199"/>
      <c r="G163" s="199"/>
      <c r="H163" s="203"/>
      <c r="I163" s="199"/>
      <c r="J163" s="199"/>
      <c r="K163" s="199"/>
      <c r="L163" s="199"/>
      <c r="M163" s="199"/>
      <c r="N163" s="199"/>
      <c r="O163" s="199"/>
      <c r="P163" s="199"/>
      <c r="Q163" s="199"/>
    </row>
    <row r="164" spans="1:17" x14ac:dyDescent="0.25">
      <c r="A164" s="199"/>
      <c r="B164" s="199"/>
      <c r="C164" s="199"/>
      <c r="D164" s="199"/>
      <c r="E164" s="199"/>
      <c r="F164" s="199"/>
      <c r="G164" s="199"/>
      <c r="H164" s="203"/>
      <c r="I164" s="199"/>
      <c r="J164" s="199"/>
      <c r="K164" s="199"/>
      <c r="L164" s="199"/>
      <c r="M164" s="199"/>
      <c r="N164" s="199"/>
      <c r="O164" s="199"/>
      <c r="P164" s="199"/>
      <c r="Q164" s="199"/>
    </row>
    <row r="165" spans="1:17" x14ac:dyDescent="0.25">
      <c r="A165" s="199"/>
      <c r="B165" s="199"/>
      <c r="C165" s="199"/>
      <c r="D165" s="199"/>
      <c r="E165" s="199"/>
      <c r="F165" s="199"/>
      <c r="G165" s="199"/>
      <c r="H165" s="203"/>
      <c r="I165" s="199"/>
      <c r="J165" s="199"/>
      <c r="K165" s="199"/>
      <c r="L165" s="199"/>
      <c r="M165" s="199"/>
      <c r="N165" s="199"/>
      <c r="O165" s="199"/>
      <c r="P165" s="199"/>
      <c r="Q165" s="199"/>
    </row>
    <row r="166" spans="1:17" x14ac:dyDescent="0.25">
      <c r="A166" s="199"/>
      <c r="B166" s="199"/>
      <c r="C166" s="199"/>
      <c r="D166" s="199"/>
      <c r="E166" s="199"/>
      <c r="F166" s="199"/>
      <c r="G166" s="199"/>
      <c r="H166" s="203"/>
      <c r="I166" s="199"/>
      <c r="J166" s="199"/>
      <c r="K166" s="199"/>
      <c r="L166" s="199"/>
      <c r="M166" s="199"/>
      <c r="N166" s="199"/>
      <c r="O166" s="199"/>
      <c r="P166" s="199"/>
      <c r="Q166" s="199"/>
    </row>
    <row r="167" spans="1:17" x14ac:dyDescent="0.25">
      <c r="A167" s="199"/>
      <c r="B167" s="199"/>
      <c r="C167" s="199"/>
      <c r="D167" s="199"/>
      <c r="E167" s="199"/>
      <c r="F167" s="199"/>
      <c r="G167" s="199"/>
      <c r="H167" s="203"/>
      <c r="I167" s="199"/>
      <c r="J167" s="199"/>
      <c r="K167" s="199"/>
      <c r="L167" s="199"/>
      <c r="M167" s="199"/>
      <c r="N167" s="199"/>
      <c r="O167" s="199"/>
      <c r="P167" s="199"/>
      <c r="Q167" s="199"/>
    </row>
    <row r="168" spans="1:17" x14ac:dyDescent="0.25">
      <c r="A168" s="199"/>
      <c r="B168" s="199"/>
      <c r="C168" s="199"/>
      <c r="D168" s="199"/>
      <c r="E168" s="199"/>
      <c r="F168" s="199"/>
      <c r="G168" s="199"/>
      <c r="H168" s="203"/>
      <c r="I168" s="199"/>
      <c r="J168" s="199"/>
      <c r="K168" s="199"/>
      <c r="L168" s="199"/>
      <c r="M168" s="199"/>
      <c r="N168" s="199"/>
      <c r="O168" s="199"/>
      <c r="P168" s="199"/>
      <c r="Q168" s="199"/>
    </row>
    <row r="169" spans="1:17" x14ac:dyDescent="0.25">
      <c r="A169" s="199"/>
      <c r="B169" s="199"/>
      <c r="C169" s="199"/>
      <c r="D169" s="199"/>
      <c r="E169" s="199"/>
      <c r="F169" s="199"/>
      <c r="G169" s="199"/>
      <c r="H169" s="203"/>
      <c r="I169" s="199"/>
      <c r="J169" s="199"/>
      <c r="K169" s="199"/>
      <c r="L169" s="199"/>
      <c r="M169" s="199"/>
      <c r="N169" s="199"/>
      <c r="O169" s="199"/>
      <c r="P169" s="199"/>
      <c r="Q169" s="199"/>
    </row>
    <row r="170" spans="1:17" x14ac:dyDescent="0.25">
      <c r="A170" s="199"/>
      <c r="B170" s="199"/>
      <c r="C170" s="199"/>
      <c r="D170" s="199"/>
      <c r="E170" s="199"/>
      <c r="F170" s="199"/>
      <c r="G170" s="199"/>
      <c r="H170" s="203"/>
      <c r="I170" s="199"/>
      <c r="J170" s="199"/>
      <c r="K170" s="199"/>
      <c r="L170" s="199"/>
      <c r="M170" s="199"/>
      <c r="N170" s="199"/>
      <c r="O170" s="199"/>
      <c r="P170" s="199"/>
      <c r="Q170" s="199"/>
    </row>
    <row r="171" spans="1:17" x14ac:dyDescent="0.25">
      <c r="A171" s="199"/>
      <c r="B171" s="199"/>
      <c r="C171" s="199"/>
      <c r="D171" s="199"/>
      <c r="E171" s="199"/>
      <c r="F171" s="199"/>
      <c r="G171" s="199"/>
      <c r="H171" s="203"/>
      <c r="I171" s="199"/>
      <c r="J171" s="199"/>
      <c r="K171" s="199"/>
      <c r="L171" s="199"/>
      <c r="M171" s="199"/>
      <c r="N171" s="199"/>
      <c r="O171" s="199"/>
      <c r="P171" s="199"/>
      <c r="Q171" s="199"/>
    </row>
    <row r="172" spans="1:17" x14ac:dyDescent="0.25">
      <c r="A172" s="199"/>
      <c r="B172" s="199"/>
      <c r="C172" s="199"/>
      <c r="D172" s="199"/>
      <c r="E172" s="199"/>
      <c r="F172" s="199"/>
      <c r="G172" s="199"/>
      <c r="H172" s="203"/>
      <c r="I172" s="199"/>
      <c r="J172" s="199"/>
      <c r="K172" s="199"/>
      <c r="L172" s="199"/>
      <c r="M172" s="199"/>
      <c r="N172" s="199"/>
      <c r="O172" s="199"/>
      <c r="P172" s="199"/>
      <c r="Q172" s="199"/>
    </row>
    <row r="173" spans="1:17" x14ac:dyDescent="0.25">
      <c r="A173" s="199"/>
      <c r="B173" s="199"/>
      <c r="C173" s="199"/>
      <c r="D173" s="199"/>
      <c r="E173" s="199"/>
      <c r="F173" s="199"/>
      <c r="G173" s="199"/>
      <c r="H173" s="203"/>
      <c r="I173" s="199"/>
      <c r="J173" s="199"/>
      <c r="K173" s="199"/>
      <c r="L173" s="199"/>
      <c r="M173" s="199"/>
      <c r="N173" s="199"/>
      <c r="O173" s="199"/>
      <c r="P173" s="199"/>
      <c r="Q173" s="199"/>
    </row>
    <row r="174" spans="1:17" x14ac:dyDescent="0.25">
      <c r="A174" s="199"/>
      <c r="B174" s="199"/>
      <c r="C174" s="199"/>
      <c r="D174" s="199"/>
      <c r="E174" s="199"/>
      <c r="F174" s="199"/>
      <c r="G174" s="199"/>
      <c r="H174" s="203"/>
      <c r="I174" s="199"/>
      <c r="J174" s="199"/>
      <c r="K174" s="199"/>
      <c r="L174" s="199"/>
      <c r="M174" s="199"/>
      <c r="N174" s="199"/>
      <c r="O174" s="199"/>
      <c r="P174" s="199"/>
      <c r="Q174" s="199"/>
    </row>
    <row r="175" spans="1:17" x14ac:dyDescent="0.25">
      <c r="A175" s="199"/>
      <c r="B175" s="199"/>
      <c r="C175" s="199"/>
      <c r="D175" s="199"/>
      <c r="E175" s="199"/>
      <c r="F175" s="199"/>
      <c r="G175" s="199"/>
      <c r="H175" s="203"/>
      <c r="I175" s="199"/>
      <c r="J175" s="199"/>
      <c r="K175" s="199"/>
      <c r="L175" s="199"/>
      <c r="M175" s="199"/>
      <c r="N175" s="199"/>
      <c r="O175" s="199"/>
      <c r="P175" s="199"/>
      <c r="Q175" s="199"/>
    </row>
    <row r="176" spans="1:17" x14ac:dyDescent="0.25">
      <c r="A176" s="199"/>
      <c r="B176" s="199"/>
      <c r="C176" s="199"/>
      <c r="D176" s="199"/>
      <c r="E176" s="199"/>
      <c r="F176" s="199"/>
      <c r="G176" s="199"/>
      <c r="H176" s="203"/>
      <c r="I176" s="199"/>
      <c r="J176" s="199"/>
      <c r="K176" s="199"/>
      <c r="L176" s="199"/>
      <c r="M176" s="199"/>
      <c r="N176" s="199"/>
      <c r="O176" s="199"/>
      <c r="P176" s="199"/>
      <c r="Q176" s="199"/>
    </row>
    <row r="177" spans="1:17" x14ac:dyDescent="0.25">
      <c r="A177" s="199"/>
      <c r="B177" s="199"/>
      <c r="C177" s="199"/>
      <c r="D177" s="199"/>
      <c r="E177" s="199"/>
      <c r="F177" s="199"/>
      <c r="G177" s="199"/>
      <c r="H177" s="203"/>
      <c r="I177" s="199"/>
      <c r="J177" s="199"/>
      <c r="K177" s="199"/>
      <c r="L177" s="199"/>
      <c r="M177" s="199"/>
      <c r="N177" s="199"/>
      <c r="O177" s="199"/>
      <c r="P177" s="199"/>
      <c r="Q177" s="199"/>
    </row>
    <row r="178" spans="1:17" x14ac:dyDescent="0.25">
      <c r="A178" s="199"/>
      <c r="B178" s="199"/>
      <c r="C178" s="199"/>
      <c r="D178" s="199"/>
      <c r="E178" s="199"/>
      <c r="F178" s="199"/>
      <c r="G178" s="199"/>
      <c r="H178" s="203"/>
      <c r="I178" s="199"/>
      <c r="J178" s="199"/>
      <c r="K178" s="199"/>
      <c r="L178" s="199"/>
      <c r="M178" s="199"/>
      <c r="N178" s="199"/>
      <c r="O178" s="199"/>
      <c r="P178" s="199"/>
      <c r="Q178" s="199"/>
    </row>
    <row r="179" spans="1:17" x14ac:dyDescent="0.25">
      <c r="A179" s="199"/>
      <c r="B179" s="199"/>
      <c r="C179" s="199"/>
      <c r="D179" s="199"/>
      <c r="E179" s="199"/>
      <c r="F179" s="199"/>
      <c r="G179" s="199"/>
      <c r="H179" s="203"/>
      <c r="I179" s="199"/>
      <c r="J179" s="199"/>
      <c r="K179" s="199"/>
      <c r="L179" s="199"/>
      <c r="M179" s="199"/>
      <c r="N179" s="199"/>
      <c r="O179" s="199"/>
      <c r="P179" s="199"/>
      <c r="Q179" s="199"/>
    </row>
    <row r="180" spans="1:17" x14ac:dyDescent="0.25">
      <c r="A180" s="199"/>
      <c r="B180" s="199"/>
      <c r="C180" s="199"/>
      <c r="D180" s="199"/>
      <c r="E180" s="199"/>
      <c r="F180" s="199"/>
      <c r="G180" s="199"/>
      <c r="H180" s="203"/>
      <c r="I180" s="199"/>
      <c r="J180" s="199"/>
      <c r="K180" s="199"/>
      <c r="L180" s="199"/>
      <c r="M180" s="199"/>
      <c r="N180" s="199"/>
      <c r="O180" s="199"/>
      <c r="P180" s="199"/>
      <c r="Q180" s="199"/>
    </row>
    <row r="181" spans="1:17" x14ac:dyDescent="0.25">
      <c r="A181" s="199"/>
      <c r="B181" s="199"/>
      <c r="C181" s="199"/>
      <c r="D181" s="199"/>
      <c r="E181" s="199"/>
      <c r="F181" s="199"/>
      <c r="G181" s="199"/>
      <c r="H181" s="203"/>
      <c r="I181" s="199"/>
      <c r="J181" s="199"/>
      <c r="K181" s="199"/>
      <c r="L181" s="199"/>
      <c r="M181" s="199"/>
      <c r="N181" s="199"/>
      <c r="O181" s="199"/>
      <c r="P181" s="199"/>
      <c r="Q181" s="199"/>
    </row>
    <row r="182" spans="1:17" x14ac:dyDescent="0.25">
      <c r="A182" s="199"/>
      <c r="B182" s="199"/>
      <c r="C182" s="199"/>
      <c r="D182" s="199"/>
      <c r="E182" s="199"/>
      <c r="F182" s="199"/>
      <c r="G182" s="199"/>
      <c r="H182" s="203"/>
      <c r="I182" s="199"/>
      <c r="J182" s="199"/>
      <c r="K182" s="199"/>
      <c r="L182" s="199"/>
      <c r="M182" s="199"/>
      <c r="N182" s="199"/>
      <c r="O182" s="199"/>
      <c r="P182" s="199"/>
      <c r="Q182" s="199"/>
    </row>
    <row r="183" spans="1:17" x14ac:dyDescent="0.25">
      <c r="A183" s="199"/>
      <c r="B183" s="199"/>
      <c r="C183" s="199"/>
      <c r="D183" s="199"/>
      <c r="E183" s="199"/>
      <c r="F183" s="199"/>
      <c r="G183" s="199"/>
      <c r="H183" s="203"/>
      <c r="I183" s="199"/>
      <c r="J183" s="199"/>
      <c r="K183" s="199"/>
      <c r="L183" s="199"/>
      <c r="M183" s="199"/>
      <c r="N183" s="199"/>
      <c r="O183" s="199"/>
      <c r="P183" s="199"/>
      <c r="Q183" s="199"/>
    </row>
    <row r="184" spans="1:17" x14ac:dyDescent="0.25">
      <c r="A184" s="199"/>
      <c r="B184" s="199"/>
      <c r="C184" s="199"/>
      <c r="D184" s="199"/>
      <c r="E184" s="199"/>
      <c r="F184" s="199"/>
      <c r="G184" s="199"/>
      <c r="H184" s="203"/>
      <c r="I184" s="199"/>
      <c r="J184" s="199"/>
      <c r="K184" s="199"/>
      <c r="L184" s="199"/>
      <c r="M184" s="199"/>
      <c r="N184" s="199"/>
      <c r="O184" s="199"/>
      <c r="P184" s="199"/>
      <c r="Q184" s="199"/>
    </row>
    <row r="185" spans="1:17" x14ac:dyDescent="0.25">
      <c r="A185" s="199"/>
      <c r="B185" s="199"/>
      <c r="C185" s="199"/>
      <c r="D185" s="199"/>
      <c r="E185" s="199"/>
      <c r="F185" s="199"/>
      <c r="G185" s="199"/>
      <c r="H185" s="203"/>
      <c r="I185" s="199"/>
      <c r="J185" s="199"/>
      <c r="K185" s="199"/>
      <c r="L185" s="199"/>
      <c r="M185" s="199"/>
      <c r="N185" s="199"/>
      <c r="O185" s="199"/>
      <c r="P185" s="199"/>
      <c r="Q185" s="199"/>
    </row>
    <row r="186" spans="1:17" x14ac:dyDescent="0.25">
      <c r="A186" s="199"/>
      <c r="B186" s="199"/>
      <c r="C186" s="199"/>
      <c r="D186" s="199"/>
      <c r="E186" s="199"/>
      <c r="F186" s="199"/>
      <c r="G186" s="199"/>
      <c r="H186" s="203"/>
      <c r="I186" s="199"/>
      <c r="J186" s="199"/>
      <c r="K186" s="199"/>
      <c r="L186" s="199"/>
      <c r="M186" s="199"/>
      <c r="N186" s="199"/>
      <c r="O186" s="199"/>
      <c r="P186" s="199"/>
      <c r="Q186" s="199"/>
    </row>
    <row r="187" spans="1:17" x14ac:dyDescent="0.25">
      <c r="A187" s="199"/>
      <c r="B187" s="199"/>
      <c r="C187" s="199"/>
      <c r="D187" s="199"/>
      <c r="E187" s="199"/>
      <c r="F187" s="199"/>
      <c r="G187" s="199"/>
      <c r="H187" s="203"/>
      <c r="I187" s="199"/>
      <c r="J187" s="199"/>
      <c r="K187" s="199"/>
      <c r="L187" s="199"/>
      <c r="M187" s="199"/>
      <c r="N187" s="199"/>
      <c r="O187" s="199"/>
      <c r="P187" s="199"/>
      <c r="Q187" s="199"/>
    </row>
    <row r="188" spans="1:17" x14ac:dyDescent="0.25">
      <c r="A188" s="199"/>
      <c r="B188" s="199"/>
      <c r="C188" s="199"/>
      <c r="D188" s="199"/>
      <c r="E188" s="199"/>
      <c r="F188" s="199"/>
      <c r="G188" s="199"/>
      <c r="H188" s="203"/>
      <c r="I188" s="199"/>
      <c r="J188" s="199"/>
      <c r="K188" s="199"/>
      <c r="L188" s="199"/>
      <c r="M188" s="199"/>
      <c r="N188" s="199"/>
      <c r="O188" s="199"/>
      <c r="P188" s="199"/>
      <c r="Q188" s="199"/>
    </row>
    <row r="189" spans="1:17" x14ac:dyDescent="0.25">
      <c r="A189" s="199"/>
      <c r="B189" s="199"/>
      <c r="C189" s="199"/>
      <c r="D189" s="199"/>
      <c r="E189" s="199"/>
      <c r="F189" s="199"/>
      <c r="G189" s="199"/>
      <c r="H189" s="203"/>
      <c r="I189" s="199"/>
      <c r="J189" s="199"/>
      <c r="K189" s="199"/>
      <c r="L189" s="199"/>
      <c r="M189" s="199"/>
      <c r="N189" s="199"/>
      <c r="O189" s="199"/>
      <c r="P189" s="199"/>
      <c r="Q189" s="199"/>
    </row>
    <row r="190" spans="1:17" x14ac:dyDescent="0.25">
      <c r="A190" s="199"/>
      <c r="B190" s="199"/>
      <c r="C190" s="199"/>
      <c r="D190" s="199"/>
      <c r="E190" s="199"/>
      <c r="F190" s="199"/>
      <c r="G190" s="199"/>
      <c r="H190" s="203"/>
      <c r="I190" s="199"/>
      <c r="J190" s="199"/>
      <c r="K190" s="199"/>
      <c r="L190" s="199"/>
      <c r="M190" s="199"/>
      <c r="N190" s="199"/>
      <c r="O190" s="199"/>
      <c r="P190" s="199"/>
      <c r="Q190" s="199"/>
    </row>
    <row r="191" spans="1:17" x14ac:dyDescent="0.25">
      <c r="A191" s="199"/>
      <c r="B191" s="199"/>
      <c r="C191" s="199"/>
      <c r="D191" s="199"/>
      <c r="E191" s="199"/>
      <c r="F191" s="199"/>
      <c r="G191" s="199"/>
      <c r="H191" s="203"/>
      <c r="I191" s="199"/>
      <c r="J191" s="199"/>
      <c r="K191" s="199"/>
      <c r="L191" s="199"/>
      <c r="M191" s="199"/>
      <c r="N191" s="199"/>
      <c r="O191" s="199"/>
      <c r="P191" s="199"/>
      <c r="Q191" s="199"/>
    </row>
    <row r="192" spans="1:17" x14ac:dyDescent="0.25">
      <c r="A192" s="199"/>
      <c r="B192" s="199"/>
      <c r="C192" s="199"/>
      <c r="D192" s="199"/>
      <c r="E192" s="199"/>
      <c r="F192" s="199"/>
      <c r="G192" s="199"/>
      <c r="H192" s="203"/>
      <c r="I192" s="199"/>
      <c r="J192" s="199"/>
      <c r="K192" s="199"/>
      <c r="L192" s="199"/>
      <c r="M192" s="199"/>
      <c r="N192" s="199"/>
      <c r="O192" s="199"/>
      <c r="P192" s="199"/>
      <c r="Q192" s="199"/>
    </row>
    <row r="193" spans="1:17" x14ac:dyDescent="0.25">
      <c r="A193" s="199"/>
      <c r="B193" s="199"/>
      <c r="C193" s="199"/>
      <c r="D193" s="199"/>
      <c r="E193" s="199"/>
      <c r="F193" s="199"/>
      <c r="G193" s="199"/>
      <c r="H193" s="203"/>
      <c r="I193" s="199"/>
      <c r="J193" s="199"/>
      <c r="K193" s="199"/>
      <c r="L193" s="199"/>
      <c r="M193" s="199"/>
      <c r="N193" s="199"/>
      <c r="O193" s="199"/>
      <c r="P193" s="199"/>
      <c r="Q193" s="199"/>
    </row>
    <row r="194" spans="1:17" x14ac:dyDescent="0.25">
      <c r="A194" s="199"/>
      <c r="B194" s="199"/>
      <c r="C194" s="199"/>
      <c r="D194" s="199"/>
      <c r="E194" s="199"/>
      <c r="F194" s="199"/>
      <c r="G194" s="199"/>
      <c r="H194" s="203"/>
      <c r="I194" s="199"/>
      <c r="J194" s="199"/>
      <c r="K194" s="199"/>
      <c r="L194" s="199"/>
      <c r="M194" s="199"/>
      <c r="N194" s="199"/>
      <c r="O194" s="199"/>
      <c r="P194" s="199"/>
      <c r="Q194" s="199"/>
    </row>
    <row r="195" spans="1:17" x14ac:dyDescent="0.25">
      <c r="A195" s="199"/>
      <c r="B195" s="199"/>
      <c r="C195" s="199"/>
      <c r="D195" s="199"/>
      <c r="E195" s="199"/>
      <c r="F195" s="199"/>
      <c r="G195" s="199"/>
      <c r="H195" s="203"/>
      <c r="I195" s="199"/>
      <c r="J195" s="199"/>
      <c r="K195" s="199"/>
      <c r="L195" s="199"/>
      <c r="M195" s="199"/>
      <c r="N195" s="199"/>
      <c r="O195" s="199"/>
      <c r="P195" s="199"/>
      <c r="Q195" s="199"/>
    </row>
    <row r="196" spans="1:17" x14ac:dyDescent="0.25">
      <c r="A196" s="199"/>
      <c r="B196" s="199"/>
      <c r="C196" s="199"/>
      <c r="D196" s="199"/>
      <c r="E196" s="199"/>
      <c r="F196" s="199"/>
      <c r="G196" s="199"/>
      <c r="H196" s="203"/>
      <c r="I196" s="199"/>
      <c r="J196" s="199"/>
      <c r="K196" s="199"/>
      <c r="L196" s="199"/>
      <c r="M196" s="199"/>
      <c r="N196" s="199"/>
      <c r="O196" s="199"/>
      <c r="P196" s="199"/>
      <c r="Q196" s="199"/>
    </row>
    <row r="197" spans="1:17" x14ac:dyDescent="0.25">
      <c r="A197" s="199"/>
      <c r="B197" s="199"/>
      <c r="C197" s="199"/>
      <c r="D197" s="199"/>
      <c r="E197" s="199"/>
      <c r="F197" s="199"/>
      <c r="G197" s="199"/>
      <c r="H197" s="203"/>
      <c r="I197" s="199"/>
      <c r="J197" s="199"/>
      <c r="K197" s="199"/>
      <c r="L197" s="199"/>
      <c r="M197" s="199"/>
      <c r="N197" s="199"/>
      <c r="O197" s="199"/>
      <c r="P197" s="199"/>
      <c r="Q197" s="199"/>
    </row>
    <row r="198" spans="1:17" x14ac:dyDescent="0.25">
      <c r="A198" s="199"/>
      <c r="B198" s="199"/>
      <c r="C198" s="199"/>
      <c r="D198" s="199"/>
      <c r="E198" s="199"/>
      <c r="F198" s="199"/>
      <c r="G198" s="199"/>
      <c r="H198" s="203"/>
      <c r="I198" s="199"/>
      <c r="J198" s="199"/>
      <c r="K198" s="199"/>
      <c r="L198" s="199"/>
      <c r="M198" s="199"/>
      <c r="N198" s="199"/>
      <c r="O198" s="199"/>
      <c r="P198" s="199"/>
      <c r="Q198" s="199"/>
    </row>
    <row r="199" spans="1:17" x14ac:dyDescent="0.25">
      <c r="A199" s="199"/>
      <c r="B199" s="199"/>
      <c r="C199" s="199"/>
      <c r="D199" s="199"/>
      <c r="E199" s="199"/>
      <c r="F199" s="199"/>
      <c r="G199" s="199"/>
      <c r="H199" s="203"/>
      <c r="I199" s="199"/>
      <c r="J199" s="199"/>
      <c r="K199" s="199"/>
      <c r="L199" s="199"/>
      <c r="M199" s="199"/>
      <c r="N199" s="199"/>
      <c r="O199" s="199"/>
      <c r="P199" s="199"/>
      <c r="Q199" s="199"/>
    </row>
    <row r="200" spans="1:17" x14ac:dyDescent="0.25">
      <c r="A200" s="199"/>
      <c r="B200" s="199"/>
      <c r="C200" s="199"/>
      <c r="D200" s="199"/>
      <c r="E200" s="199"/>
      <c r="F200" s="199"/>
      <c r="G200" s="199"/>
      <c r="H200" s="203"/>
      <c r="I200" s="199"/>
      <c r="J200" s="199"/>
      <c r="K200" s="199"/>
      <c r="L200" s="199"/>
      <c r="M200" s="199"/>
      <c r="N200" s="199"/>
      <c r="O200" s="199"/>
      <c r="P200" s="199"/>
      <c r="Q200" s="199"/>
    </row>
    <row r="201" spans="1:17" x14ac:dyDescent="0.25">
      <c r="A201" s="199"/>
      <c r="B201" s="199"/>
      <c r="C201" s="199"/>
      <c r="D201" s="199"/>
      <c r="E201" s="199"/>
      <c r="F201" s="199"/>
      <c r="G201" s="199"/>
      <c r="H201" s="203"/>
      <c r="I201" s="199"/>
      <c r="J201" s="199"/>
      <c r="K201" s="199"/>
      <c r="L201" s="199"/>
      <c r="M201" s="199"/>
      <c r="N201" s="199"/>
      <c r="O201" s="199"/>
      <c r="P201" s="199"/>
      <c r="Q201" s="199"/>
    </row>
    <row r="202" spans="1:17" x14ac:dyDescent="0.25">
      <c r="A202" s="199"/>
      <c r="B202" s="199"/>
      <c r="C202" s="199"/>
      <c r="D202" s="199"/>
      <c r="E202" s="199"/>
      <c r="F202" s="199"/>
      <c r="G202" s="199"/>
      <c r="H202" s="203"/>
      <c r="I202" s="199"/>
      <c r="J202" s="199"/>
      <c r="K202" s="199"/>
      <c r="L202" s="199"/>
      <c r="M202" s="199"/>
      <c r="N202" s="199"/>
      <c r="O202" s="199"/>
      <c r="P202" s="199"/>
      <c r="Q202" s="199"/>
    </row>
    <row r="203" spans="1:17" x14ac:dyDescent="0.25">
      <c r="A203" s="199"/>
      <c r="B203" s="199"/>
      <c r="C203" s="199"/>
      <c r="D203" s="199"/>
      <c r="E203" s="199"/>
      <c r="F203" s="199"/>
      <c r="G203" s="199"/>
      <c r="H203" s="203"/>
      <c r="I203" s="199"/>
      <c r="J203" s="199"/>
      <c r="K203" s="199"/>
      <c r="L203" s="199"/>
      <c r="M203" s="199"/>
      <c r="N203" s="199"/>
      <c r="O203" s="199"/>
      <c r="P203" s="199"/>
      <c r="Q203" s="199"/>
    </row>
    <row r="204" spans="1:17" x14ac:dyDescent="0.25">
      <c r="A204" s="199"/>
      <c r="B204" s="199"/>
      <c r="C204" s="199"/>
      <c r="D204" s="199"/>
      <c r="E204" s="199"/>
      <c r="F204" s="199"/>
      <c r="G204" s="199"/>
      <c r="H204" s="203"/>
      <c r="I204" s="199"/>
      <c r="J204" s="199"/>
      <c r="K204" s="199"/>
      <c r="L204" s="199"/>
      <c r="M204" s="199"/>
      <c r="N204" s="199"/>
      <c r="O204" s="199"/>
      <c r="P204" s="199"/>
      <c r="Q204" s="199"/>
    </row>
    <row r="205" spans="1:17" x14ac:dyDescent="0.25">
      <c r="A205" s="199"/>
      <c r="B205" s="199"/>
      <c r="C205" s="199"/>
      <c r="D205" s="199"/>
      <c r="E205" s="199"/>
      <c r="F205" s="199"/>
      <c r="G205" s="199"/>
      <c r="H205" s="203"/>
      <c r="I205" s="199"/>
      <c r="J205" s="199"/>
      <c r="K205" s="199"/>
      <c r="L205" s="199"/>
      <c r="M205" s="199"/>
      <c r="N205" s="199"/>
      <c r="O205" s="199"/>
      <c r="P205" s="199"/>
      <c r="Q205" s="199"/>
    </row>
    <row r="206" spans="1:17" x14ac:dyDescent="0.25">
      <c r="A206" s="199"/>
      <c r="B206" s="199"/>
      <c r="C206" s="199"/>
      <c r="D206" s="199"/>
      <c r="E206" s="199"/>
      <c r="F206" s="199"/>
      <c r="G206" s="199"/>
      <c r="H206" s="203"/>
      <c r="I206" s="199"/>
      <c r="J206" s="199"/>
      <c r="K206" s="199"/>
      <c r="L206" s="199"/>
      <c r="M206" s="199"/>
      <c r="N206" s="199"/>
      <c r="O206" s="199"/>
      <c r="P206" s="199"/>
      <c r="Q206" s="199"/>
    </row>
    <row r="207" spans="1:17" x14ac:dyDescent="0.25">
      <c r="A207" s="199"/>
      <c r="B207" s="199"/>
      <c r="C207" s="199"/>
      <c r="D207" s="199"/>
      <c r="E207" s="199"/>
      <c r="F207" s="199"/>
      <c r="G207" s="199"/>
      <c r="H207" s="203"/>
      <c r="I207" s="199"/>
      <c r="J207" s="199"/>
      <c r="K207" s="199"/>
      <c r="L207" s="199"/>
      <c r="M207" s="199"/>
      <c r="N207" s="199"/>
      <c r="O207" s="199"/>
      <c r="P207" s="199"/>
      <c r="Q207" s="199"/>
    </row>
    <row r="208" spans="1:17" x14ac:dyDescent="0.25">
      <c r="A208" s="199"/>
      <c r="B208" s="199"/>
      <c r="C208" s="199"/>
      <c r="D208" s="199"/>
      <c r="E208" s="199"/>
      <c r="F208" s="199"/>
      <c r="G208" s="199"/>
      <c r="H208" s="203"/>
      <c r="I208" s="199"/>
      <c r="J208" s="199"/>
      <c r="K208" s="199"/>
      <c r="L208" s="199"/>
      <c r="M208" s="199"/>
      <c r="N208" s="199"/>
      <c r="O208" s="199"/>
      <c r="P208" s="199"/>
      <c r="Q208" s="199"/>
    </row>
    <row r="209" spans="1:17" x14ac:dyDescent="0.25">
      <c r="A209" s="199"/>
      <c r="B209" s="199"/>
      <c r="C209" s="199"/>
      <c r="D209" s="199"/>
      <c r="E209" s="199"/>
      <c r="F209" s="199"/>
      <c r="G209" s="199"/>
      <c r="H209" s="203"/>
      <c r="I209" s="199"/>
      <c r="J209" s="199"/>
      <c r="K209" s="199"/>
      <c r="L209" s="199"/>
      <c r="M209" s="199"/>
      <c r="N209" s="199"/>
      <c r="O209" s="199"/>
      <c r="P209" s="199"/>
      <c r="Q209" s="199"/>
    </row>
    <row r="210" spans="1:17" x14ac:dyDescent="0.25">
      <c r="A210" s="199"/>
      <c r="B210" s="199"/>
      <c r="C210" s="199"/>
      <c r="D210" s="199"/>
      <c r="E210" s="199"/>
      <c r="F210" s="199"/>
      <c r="G210" s="199"/>
      <c r="H210" s="203"/>
      <c r="I210" s="199"/>
      <c r="J210" s="199"/>
      <c r="K210" s="199"/>
      <c r="L210" s="199"/>
      <c r="M210" s="199"/>
      <c r="N210" s="199"/>
      <c r="O210" s="199"/>
      <c r="P210" s="199"/>
      <c r="Q210" s="199"/>
    </row>
    <row r="211" spans="1:17" x14ac:dyDescent="0.25">
      <c r="A211" s="199"/>
      <c r="B211" s="199"/>
      <c r="C211" s="199"/>
      <c r="D211" s="199"/>
      <c r="E211" s="199"/>
      <c r="F211" s="199"/>
      <c r="G211" s="199"/>
      <c r="H211" s="203"/>
      <c r="I211" s="199"/>
      <c r="J211" s="199"/>
      <c r="K211" s="199"/>
      <c r="L211" s="199"/>
      <c r="M211" s="199"/>
      <c r="N211" s="199"/>
      <c r="O211" s="199"/>
      <c r="P211" s="199"/>
      <c r="Q211" s="199"/>
    </row>
    <row r="212" spans="1:17" x14ac:dyDescent="0.25">
      <c r="A212" s="199"/>
      <c r="B212" s="199"/>
      <c r="C212" s="199"/>
      <c r="D212" s="199"/>
      <c r="E212" s="199"/>
      <c r="F212" s="199"/>
      <c r="G212" s="199"/>
      <c r="H212" s="203"/>
      <c r="I212" s="199"/>
      <c r="J212" s="199"/>
      <c r="K212" s="199"/>
      <c r="L212" s="199"/>
      <c r="M212" s="199"/>
      <c r="N212" s="199"/>
      <c r="O212" s="199"/>
      <c r="P212" s="199"/>
      <c r="Q212" s="199"/>
    </row>
    <row r="213" spans="1:17" x14ac:dyDescent="0.25">
      <c r="A213" s="199"/>
      <c r="B213" s="199"/>
      <c r="C213" s="199"/>
      <c r="D213" s="199"/>
      <c r="E213" s="199"/>
      <c r="F213" s="199"/>
      <c r="G213" s="199"/>
      <c r="H213" s="203"/>
      <c r="I213" s="199"/>
      <c r="J213" s="199"/>
      <c r="K213" s="199"/>
      <c r="L213" s="199"/>
      <c r="M213" s="199"/>
      <c r="N213" s="199"/>
      <c r="O213" s="199"/>
      <c r="P213" s="199"/>
      <c r="Q213" s="199"/>
    </row>
    <row r="214" spans="1:17" x14ac:dyDescent="0.25">
      <c r="A214" s="199"/>
      <c r="B214" s="199"/>
      <c r="C214" s="199"/>
      <c r="D214" s="199"/>
      <c r="E214" s="199"/>
      <c r="F214" s="199"/>
      <c r="G214" s="199"/>
      <c r="H214" s="203"/>
      <c r="I214" s="199"/>
      <c r="J214" s="199"/>
      <c r="K214" s="199"/>
      <c r="L214" s="199"/>
      <c r="M214" s="199"/>
      <c r="N214" s="199"/>
      <c r="O214" s="199"/>
      <c r="P214" s="199"/>
      <c r="Q214" s="199"/>
    </row>
    <row r="215" spans="1:17" x14ac:dyDescent="0.25">
      <c r="A215" s="199"/>
      <c r="B215" s="199"/>
      <c r="C215" s="199"/>
      <c r="D215" s="199"/>
      <c r="E215" s="199"/>
      <c r="F215" s="199"/>
      <c r="G215" s="199"/>
      <c r="H215" s="203"/>
      <c r="I215" s="199"/>
      <c r="J215" s="199"/>
      <c r="K215" s="199"/>
      <c r="L215" s="199"/>
      <c r="M215" s="199"/>
      <c r="N215" s="199"/>
      <c r="O215" s="199"/>
      <c r="P215" s="199"/>
      <c r="Q215" s="199"/>
    </row>
    <row r="216" spans="1:17" x14ac:dyDescent="0.25">
      <c r="A216" s="199"/>
      <c r="B216" s="199"/>
      <c r="C216" s="199"/>
      <c r="D216" s="199"/>
      <c r="E216" s="199"/>
      <c r="F216" s="199"/>
      <c r="G216" s="199"/>
      <c r="H216" s="203"/>
      <c r="I216" s="199"/>
      <c r="J216" s="199"/>
      <c r="K216" s="199"/>
      <c r="L216" s="199"/>
      <c r="M216" s="199"/>
      <c r="N216" s="199"/>
      <c r="O216" s="199"/>
      <c r="P216" s="199"/>
      <c r="Q216" s="199"/>
    </row>
    <row r="217" spans="1:17" x14ac:dyDescent="0.25">
      <c r="A217" s="199"/>
      <c r="B217" s="199"/>
      <c r="C217" s="199"/>
      <c r="D217" s="199"/>
      <c r="E217" s="199"/>
      <c r="F217" s="199"/>
      <c r="G217" s="199"/>
      <c r="H217" s="203"/>
      <c r="I217" s="199"/>
      <c r="J217" s="199"/>
      <c r="K217" s="199"/>
      <c r="L217" s="199"/>
      <c r="M217" s="199"/>
      <c r="N217" s="199"/>
      <c r="O217" s="199"/>
      <c r="P217" s="199"/>
      <c r="Q217" s="199"/>
    </row>
    <row r="218" spans="1:17" x14ac:dyDescent="0.25">
      <c r="A218" s="199"/>
      <c r="B218" s="199"/>
      <c r="C218" s="199"/>
      <c r="D218" s="199"/>
      <c r="E218" s="199"/>
      <c r="F218" s="199"/>
      <c r="G218" s="199"/>
      <c r="H218" s="203"/>
      <c r="I218" s="199"/>
      <c r="J218" s="199"/>
      <c r="K218" s="199"/>
      <c r="L218" s="199"/>
      <c r="M218" s="199"/>
      <c r="N218" s="199"/>
      <c r="O218" s="199"/>
      <c r="P218" s="199"/>
      <c r="Q218" s="199"/>
    </row>
    <row r="219" spans="1:17" x14ac:dyDescent="0.25">
      <c r="A219" s="199"/>
      <c r="B219" s="199"/>
      <c r="C219" s="199"/>
      <c r="D219" s="199"/>
      <c r="E219" s="199"/>
      <c r="F219" s="199"/>
      <c r="G219" s="199"/>
      <c r="H219" s="203"/>
      <c r="I219" s="199"/>
      <c r="J219" s="199"/>
      <c r="K219" s="199"/>
      <c r="L219" s="199"/>
      <c r="M219" s="199"/>
      <c r="N219" s="199"/>
      <c r="O219" s="199"/>
      <c r="P219" s="199"/>
      <c r="Q219" s="199"/>
    </row>
    <row r="220" spans="1:17" x14ac:dyDescent="0.25">
      <c r="A220" s="199"/>
      <c r="B220" s="199"/>
      <c r="C220" s="199"/>
      <c r="D220" s="199"/>
      <c r="E220" s="199"/>
      <c r="F220" s="199"/>
      <c r="G220" s="199"/>
      <c r="H220" s="203"/>
      <c r="I220" s="199"/>
      <c r="J220" s="199"/>
      <c r="K220" s="199"/>
      <c r="L220" s="199"/>
      <c r="M220" s="199"/>
      <c r="N220" s="199"/>
      <c r="O220" s="199"/>
      <c r="P220" s="199"/>
      <c r="Q220" s="199"/>
    </row>
    <row r="221" spans="1:17" x14ac:dyDescent="0.25">
      <c r="A221" s="199"/>
      <c r="B221" s="199"/>
      <c r="C221" s="199"/>
      <c r="D221" s="199"/>
      <c r="E221" s="199"/>
      <c r="F221" s="199"/>
      <c r="G221" s="199"/>
      <c r="H221" s="203"/>
      <c r="I221" s="199"/>
      <c r="J221" s="199"/>
      <c r="K221" s="199"/>
      <c r="L221" s="199"/>
      <c r="M221" s="199"/>
      <c r="N221" s="199"/>
      <c r="O221" s="199"/>
      <c r="P221" s="199"/>
      <c r="Q221" s="199"/>
    </row>
    <row r="222" spans="1:17" x14ac:dyDescent="0.25">
      <c r="A222" s="199"/>
      <c r="B222" s="199"/>
      <c r="C222" s="199"/>
      <c r="D222" s="199"/>
      <c r="E222" s="199"/>
      <c r="F222" s="199"/>
      <c r="G222" s="199"/>
      <c r="H222" s="203"/>
      <c r="I222" s="199"/>
      <c r="J222" s="199"/>
      <c r="K222" s="199"/>
      <c r="L222" s="199"/>
      <c r="M222" s="199"/>
      <c r="N222" s="199"/>
      <c r="O222" s="199"/>
      <c r="P222" s="199"/>
      <c r="Q222" s="199"/>
    </row>
    <row r="223" spans="1:17" x14ac:dyDescent="0.25">
      <c r="A223" s="199"/>
      <c r="B223" s="199"/>
      <c r="C223" s="199"/>
      <c r="D223" s="199"/>
      <c r="E223" s="199"/>
      <c r="F223" s="199"/>
      <c r="G223" s="199"/>
      <c r="H223" s="203"/>
      <c r="I223" s="199"/>
      <c r="J223" s="199"/>
      <c r="K223" s="199"/>
      <c r="L223" s="199"/>
      <c r="M223" s="199"/>
      <c r="N223" s="199"/>
      <c r="O223" s="199"/>
      <c r="P223" s="199"/>
      <c r="Q223" s="199"/>
    </row>
    <row r="224" spans="1:17" x14ac:dyDescent="0.25">
      <c r="A224" s="199"/>
      <c r="B224" s="199"/>
      <c r="C224" s="199"/>
      <c r="D224" s="199"/>
      <c r="E224" s="199"/>
      <c r="F224" s="199"/>
      <c r="G224" s="199"/>
      <c r="H224" s="203"/>
      <c r="I224" s="199"/>
      <c r="J224" s="199"/>
      <c r="K224" s="199"/>
      <c r="L224" s="199"/>
      <c r="M224" s="199"/>
      <c r="N224" s="199"/>
      <c r="O224" s="199"/>
      <c r="P224" s="199"/>
      <c r="Q224" s="199"/>
    </row>
    <row r="225" spans="1:17" x14ac:dyDescent="0.25">
      <c r="A225" s="199"/>
      <c r="B225" s="199"/>
      <c r="C225" s="199"/>
      <c r="D225" s="199"/>
      <c r="E225" s="199"/>
      <c r="F225" s="199"/>
      <c r="G225" s="199"/>
      <c r="H225" s="203"/>
      <c r="I225" s="199"/>
      <c r="J225" s="199"/>
      <c r="K225" s="199"/>
      <c r="L225" s="199"/>
      <c r="M225" s="199"/>
      <c r="N225" s="199"/>
      <c r="O225" s="199"/>
      <c r="P225" s="199"/>
      <c r="Q225" s="199"/>
    </row>
    <row r="226" spans="1:17" x14ac:dyDescent="0.25">
      <c r="A226" s="199"/>
      <c r="B226" s="199"/>
      <c r="C226" s="199"/>
      <c r="D226" s="199"/>
      <c r="E226" s="199"/>
      <c r="F226" s="199"/>
      <c r="G226" s="199"/>
      <c r="H226" s="203"/>
      <c r="I226" s="199"/>
      <c r="J226" s="199"/>
      <c r="K226" s="199"/>
      <c r="L226" s="199"/>
      <c r="M226" s="199"/>
      <c r="N226" s="199"/>
      <c r="O226" s="199"/>
      <c r="P226" s="199"/>
      <c r="Q226" s="199"/>
    </row>
    <row r="227" spans="1:17" x14ac:dyDescent="0.25">
      <c r="A227" s="199"/>
      <c r="B227" s="199"/>
      <c r="C227" s="199"/>
      <c r="D227" s="199"/>
      <c r="E227" s="199"/>
      <c r="F227" s="199"/>
      <c r="G227" s="199"/>
      <c r="H227" s="203"/>
      <c r="I227" s="199"/>
      <c r="J227" s="199"/>
      <c r="K227" s="199"/>
      <c r="L227" s="199"/>
      <c r="M227" s="199"/>
      <c r="N227" s="199"/>
      <c r="O227" s="199"/>
      <c r="P227" s="199"/>
      <c r="Q227" s="199"/>
    </row>
    <row r="228" spans="1:17" x14ac:dyDescent="0.25">
      <c r="A228" s="199"/>
      <c r="B228" s="199"/>
      <c r="C228" s="199"/>
      <c r="D228" s="199"/>
      <c r="E228" s="199"/>
      <c r="F228" s="199"/>
      <c r="G228" s="199"/>
      <c r="H228" s="203"/>
      <c r="I228" s="199"/>
      <c r="J228" s="199"/>
      <c r="K228" s="199"/>
      <c r="L228" s="199"/>
      <c r="M228" s="199"/>
      <c r="N228" s="199"/>
      <c r="O228" s="199"/>
      <c r="P228" s="199"/>
      <c r="Q228" s="199"/>
    </row>
    <row r="229" spans="1:17" x14ac:dyDescent="0.25">
      <c r="A229" s="199"/>
      <c r="B229" s="199"/>
      <c r="C229" s="199"/>
      <c r="D229" s="199"/>
      <c r="E229" s="199"/>
      <c r="F229" s="199"/>
      <c r="G229" s="199"/>
      <c r="H229" s="203"/>
      <c r="I229" s="199"/>
      <c r="J229" s="199"/>
      <c r="K229" s="199"/>
      <c r="L229" s="199"/>
      <c r="M229" s="199"/>
      <c r="N229" s="199"/>
      <c r="O229" s="199"/>
      <c r="P229" s="199"/>
      <c r="Q229" s="199"/>
    </row>
    <row r="230" spans="1:17" x14ac:dyDescent="0.25">
      <c r="A230" s="199"/>
      <c r="B230" s="199"/>
      <c r="C230" s="199"/>
      <c r="D230" s="199"/>
      <c r="E230" s="199"/>
      <c r="F230" s="199"/>
      <c r="G230" s="199"/>
      <c r="H230" s="203"/>
      <c r="I230" s="199"/>
      <c r="J230" s="199"/>
      <c r="K230" s="199"/>
      <c r="L230" s="199"/>
      <c r="M230" s="199"/>
      <c r="N230" s="199"/>
      <c r="O230" s="199"/>
      <c r="P230" s="199"/>
      <c r="Q230" s="199"/>
    </row>
    <row r="231" spans="1:17" x14ac:dyDescent="0.25">
      <c r="A231" s="199"/>
      <c r="B231" s="199"/>
      <c r="C231" s="199"/>
      <c r="D231" s="199"/>
      <c r="E231" s="199"/>
      <c r="F231" s="199"/>
      <c r="G231" s="199"/>
      <c r="H231" s="203"/>
      <c r="I231" s="199"/>
      <c r="J231" s="199"/>
      <c r="K231" s="199"/>
      <c r="L231" s="199"/>
      <c r="M231" s="199"/>
      <c r="N231" s="199"/>
      <c r="O231" s="199"/>
      <c r="P231" s="199"/>
      <c r="Q231" s="199"/>
    </row>
    <row r="232" spans="1:17" x14ac:dyDescent="0.25">
      <c r="A232" s="199"/>
      <c r="B232" s="199"/>
      <c r="C232" s="199"/>
      <c r="D232" s="199"/>
      <c r="E232" s="199"/>
      <c r="F232" s="199"/>
      <c r="G232" s="199"/>
      <c r="H232" s="203"/>
      <c r="I232" s="199"/>
      <c r="J232" s="199"/>
      <c r="K232" s="199"/>
      <c r="L232" s="199"/>
      <c r="M232" s="199"/>
      <c r="N232" s="199"/>
      <c r="O232" s="199"/>
      <c r="P232" s="199"/>
      <c r="Q232" s="199"/>
    </row>
    <row r="233" spans="1:17" x14ac:dyDescent="0.25">
      <c r="A233" s="199"/>
      <c r="B233" s="199"/>
      <c r="C233" s="199"/>
      <c r="D233" s="199"/>
      <c r="E233" s="199"/>
      <c r="F233" s="199"/>
      <c r="G233" s="199"/>
      <c r="H233" s="203"/>
      <c r="I233" s="199"/>
      <c r="J233" s="199"/>
      <c r="K233" s="199"/>
      <c r="L233" s="199"/>
      <c r="M233" s="199"/>
      <c r="N233" s="199"/>
      <c r="O233" s="199"/>
      <c r="P233" s="199"/>
      <c r="Q233" s="199"/>
    </row>
    <row r="234" spans="1:17" x14ac:dyDescent="0.25">
      <c r="A234" s="199"/>
      <c r="B234" s="199"/>
      <c r="C234" s="199"/>
      <c r="D234" s="199"/>
      <c r="E234" s="199"/>
      <c r="F234" s="199"/>
      <c r="G234" s="199"/>
      <c r="H234" s="203"/>
      <c r="I234" s="199"/>
      <c r="J234" s="199"/>
      <c r="K234" s="199"/>
      <c r="L234" s="199"/>
      <c r="M234" s="199"/>
      <c r="N234" s="199"/>
      <c r="O234" s="199"/>
      <c r="P234" s="199"/>
      <c r="Q234" s="199"/>
    </row>
    <row r="235" spans="1:17" x14ac:dyDescent="0.25">
      <c r="A235" s="199"/>
      <c r="B235" s="199"/>
      <c r="C235" s="199"/>
      <c r="D235" s="199"/>
      <c r="E235" s="199"/>
      <c r="F235" s="199"/>
      <c r="G235" s="199"/>
      <c r="H235" s="203"/>
      <c r="I235" s="199"/>
      <c r="J235" s="199"/>
      <c r="K235" s="199"/>
      <c r="L235" s="199"/>
      <c r="M235" s="199"/>
      <c r="N235" s="199"/>
      <c r="O235" s="199"/>
      <c r="P235" s="199"/>
      <c r="Q235" s="199"/>
    </row>
    <row r="236" spans="1:17" x14ac:dyDescent="0.25">
      <c r="A236" s="199"/>
      <c r="B236" s="199"/>
      <c r="C236" s="199"/>
      <c r="D236" s="199"/>
      <c r="E236" s="199"/>
      <c r="F236" s="199"/>
      <c r="G236" s="199"/>
      <c r="H236" s="203"/>
      <c r="I236" s="199"/>
      <c r="J236" s="199"/>
      <c r="K236" s="199"/>
      <c r="L236" s="199"/>
      <c r="M236" s="199"/>
      <c r="N236" s="199"/>
      <c r="O236" s="199"/>
      <c r="P236" s="199"/>
      <c r="Q236" s="199"/>
    </row>
    <row r="237" spans="1:17" x14ac:dyDescent="0.25">
      <c r="A237" s="199"/>
      <c r="B237" s="199"/>
      <c r="C237" s="199"/>
      <c r="D237" s="199"/>
      <c r="E237" s="199"/>
      <c r="F237" s="199"/>
      <c r="G237" s="199"/>
      <c r="H237" s="203"/>
      <c r="I237" s="199"/>
      <c r="J237" s="199"/>
      <c r="K237" s="199"/>
      <c r="L237" s="199"/>
      <c r="M237" s="199"/>
      <c r="N237" s="199"/>
      <c r="O237" s="199"/>
      <c r="P237" s="199"/>
      <c r="Q237" s="199"/>
    </row>
    <row r="238" spans="1:17" x14ac:dyDescent="0.25">
      <c r="A238" s="199"/>
      <c r="B238" s="199"/>
      <c r="C238" s="199"/>
      <c r="D238" s="199"/>
      <c r="E238" s="199"/>
      <c r="F238" s="199"/>
      <c r="G238" s="199"/>
      <c r="H238" s="203"/>
      <c r="I238" s="199"/>
      <c r="J238" s="199"/>
      <c r="K238" s="199"/>
      <c r="L238" s="199"/>
      <c r="M238" s="199"/>
      <c r="N238" s="199"/>
      <c r="O238" s="199"/>
      <c r="P238" s="199"/>
      <c r="Q238" s="199"/>
    </row>
    <row r="239" spans="1:17" x14ac:dyDescent="0.25">
      <c r="A239" s="199"/>
      <c r="B239" s="199"/>
      <c r="C239" s="199"/>
      <c r="D239" s="199"/>
      <c r="E239" s="199"/>
      <c r="F239" s="199"/>
      <c r="G239" s="199"/>
      <c r="H239" s="203"/>
      <c r="I239" s="199"/>
      <c r="J239" s="199"/>
      <c r="K239" s="199"/>
      <c r="L239" s="199"/>
      <c r="M239" s="199"/>
      <c r="N239" s="199"/>
      <c r="O239" s="199"/>
      <c r="P239" s="199"/>
      <c r="Q239" s="199"/>
    </row>
    <row r="240" spans="1:17" x14ac:dyDescent="0.25">
      <c r="A240" s="199"/>
      <c r="B240" s="199"/>
      <c r="C240" s="199"/>
      <c r="D240" s="199"/>
      <c r="E240" s="199"/>
      <c r="F240" s="199"/>
      <c r="G240" s="199"/>
      <c r="H240" s="203"/>
      <c r="I240" s="199"/>
      <c r="J240" s="199"/>
      <c r="K240" s="199"/>
      <c r="L240" s="199"/>
      <c r="M240" s="199"/>
      <c r="N240" s="199"/>
      <c r="O240" s="199"/>
      <c r="P240" s="199"/>
      <c r="Q240" s="199"/>
    </row>
    <row r="241" spans="1:17" x14ac:dyDescent="0.25">
      <c r="A241" s="199"/>
      <c r="B241" s="199"/>
      <c r="C241" s="199"/>
      <c r="D241" s="199"/>
      <c r="E241" s="199"/>
      <c r="F241" s="199"/>
      <c r="G241" s="199"/>
      <c r="H241" s="203"/>
      <c r="I241" s="199"/>
      <c r="J241" s="199"/>
      <c r="K241" s="199"/>
      <c r="L241" s="199"/>
      <c r="M241" s="199"/>
      <c r="N241" s="199"/>
      <c r="O241" s="199"/>
      <c r="P241" s="199"/>
      <c r="Q241" s="199"/>
    </row>
    <row r="242" spans="1:17" x14ac:dyDescent="0.25">
      <c r="A242" s="199"/>
      <c r="B242" s="199"/>
      <c r="C242" s="199"/>
      <c r="D242" s="199"/>
      <c r="E242" s="199"/>
      <c r="F242" s="199"/>
      <c r="G242" s="199"/>
      <c r="H242" s="203"/>
      <c r="I242" s="199"/>
      <c r="J242" s="199"/>
      <c r="K242" s="199"/>
      <c r="L242" s="199"/>
      <c r="M242" s="199"/>
      <c r="N242" s="199"/>
      <c r="O242" s="199"/>
      <c r="P242" s="199"/>
      <c r="Q242" s="199"/>
    </row>
    <row r="243" spans="1:17" x14ac:dyDescent="0.25">
      <c r="A243" s="199"/>
      <c r="B243" s="199"/>
      <c r="C243" s="199"/>
      <c r="D243" s="199"/>
      <c r="E243" s="199"/>
      <c r="F243" s="199"/>
      <c r="G243" s="199"/>
      <c r="H243" s="203"/>
      <c r="I243" s="199"/>
      <c r="J243" s="199"/>
      <c r="K243" s="199"/>
      <c r="L243" s="199"/>
      <c r="M243" s="199"/>
      <c r="N243" s="199"/>
      <c r="O243" s="199"/>
      <c r="P243" s="199"/>
      <c r="Q243" s="199"/>
    </row>
    <row r="244" spans="1:17" x14ac:dyDescent="0.25">
      <c r="A244" s="199"/>
      <c r="B244" s="199"/>
      <c r="C244" s="199"/>
      <c r="D244" s="199"/>
      <c r="E244" s="199"/>
      <c r="F244" s="199"/>
      <c r="G244" s="199"/>
      <c r="H244" s="203"/>
      <c r="I244" s="199"/>
      <c r="J244" s="199"/>
      <c r="K244" s="199"/>
      <c r="L244" s="199"/>
      <c r="M244" s="199"/>
      <c r="N244" s="199"/>
      <c r="O244" s="199"/>
      <c r="P244" s="199"/>
      <c r="Q244" s="199"/>
    </row>
    <row r="245" spans="1:17" x14ac:dyDescent="0.25">
      <c r="A245" s="199"/>
      <c r="B245" s="199"/>
      <c r="C245" s="199"/>
      <c r="D245" s="199"/>
      <c r="E245" s="199"/>
      <c r="F245" s="199"/>
      <c r="G245" s="199"/>
      <c r="H245" s="203"/>
      <c r="I245" s="199"/>
      <c r="J245" s="199"/>
      <c r="K245" s="199"/>
      <c r="L245" s="199"/>
      <c r="M245" s="199"/>
      <c r="N245" s="199"/>
      <c r="O245" s="199"/>
      <c r="P245" s="199"/>
      <c r="Q245" s="199"/>
    </row>
    <row r="246" spans="1:17" x14ac:dyDescent="0.25">
      <c r="A246" s="199"/>
      <c r="B246" s="199"/>
      <c r="C246" s="199"/>
      <c r="D246" s="199"/>
      <c r="E246" s="199"/>
      <c r="F246" s="199"/>
      <c r="G246" s="199"/>
      <c r="H246" s="203"/>
      <c r="I246" s="199"/>
      <c r="J246" s="199"/>
      <c r="K246" s="199"/>
      <c r="L246" s="199"/>
      <c r="M246" s="199"/>
      <c r="N246" s="199"/>
      <c r="O246" s="199"/>
      <c r="P246" s="199"/>
      <c r="Q246" s="199"/>
    </row>
    <row r="247" spans="1:17" x14ac:dyDescent="0.25">
      <c r="A247" s="199"/>
      <c r="B247" s="199"/>
      <c r="C247" s="199"/>
      <c r="D247" s="199"/>
      <c r="E247" s="199"/>
      <c r="F247" s="199"/>
      <c r="G247" s="199"/>
      <c r="H247" s="203"/>
      <c r="I247" s="199"/>
      <c r="J247" s="199"/>
      <c r="K247" s="199"/>
      <c r="L247" s="199"/>
      <c r="M247" s="199"/>
      <c r="N247" s="199"/>
      <c r="O247" s="199"/>
      <c r="P247" s="199"/>
      <c r="Q247" s="199"/>
    </row>
    <row r="248" spans="1:17" x14ac:dyDescent="0.25">
      <c r="A248" s="199"/>
      <c r="B248" s="199"/>
      <c r="C248" s="199"/>
      <c r="D248" s="199"/>
      <c r="E248" s="199"/>
      <c r="F248" s="199"/>
      <c r="G248" s="199"/>
      <c r="H248" s="203"/>
      <c r="I248" s="199"/>
      <c r="J248" s="199"/>
      <c r="K248" s="199"/>
      <c r="L248" s="199"/>
      <c r="M248" s="199"/>
      <c r="N248" s="199"/>
      <c r="O248" s="199"/>
      <c r="P248" s="199"/>
      <c r="Q248" s="199"/>
    </row>
    <row r="249" spans="1:17" x14ac:dyDescent="0.25">
      <c r="A249" s="199"/>
      <c r="B249" s="199"/>
      <c r="C249" s="199"/>
      <c r="D249" s="199"/>
      <c r="E249" s="199"/>
      <c r="F249" s="199"/>
      <c r="G249" s="199"/>
      <c r="H249" s="203"/>
      <c r="I249" s="199"/>
      <c r="J249" s="199"/>
      <c r="K249" s="199"/>
      <c r="L249" s="199"/>
      <c r="M249" s="199"/>
      <c r="N249" s="199"/>
      <c r="O249" s="199"/>
      <c r="P249" s="199"/>
      <c r="Q249" s="199"/>
    </row>
    <row r="250" spans="1:17" x14ac:dyDescent="0.25">
      <c r="A250" s="199"/>
      <c r="B250" s="199"/>
      <c r="C250" s="199"/>
      <c r="D250" s="199"/>
      <c r="E250" s="199"/>
      <c r="F250" s="199"/>
      <c r="G250" s="199"/>
      <c r="H250" s="203"/>
      <c r="I250" s="199"/>
      <c r="J250" s="199"/>
      <c r="K250" s="199"/>
      <c r="L250" s="199"/>
      <c r="M250" s="199"/>
      <c r="N250" s="199"/>
      <c r="O250" s="199"/>
      <c r="P250" s="199"/>
      <c r="Q250" s="199"/>
    </row>
    <row r="251" spans="1:17" x14ac:dyDescent="0.25">
      <c r="A251" s="199"/>
      <c r="B251" s="199"/>
      <c r="C251" s="199"/>
      <c r="D251" s="199"/>
      <c r="E251" s="199"/>
      <c r="F251" s="199"/>
      <c r="G251" s="199"/>
      <c r="H251" s="203"/>
      <c r="I251" s="199"/>
      <c r="J251" s="199"/>
      <c r="K251" s="199"/>
      <c r="L251" s="199"/>
      <c r="M251" s="199"/>
      <c r="N251" s="199"/>
      <c r="O251" s="199"/>
      <c r="P251" s="199"/>
      <c r="Q251" s="199"/>
    </row>
    <row r="252" spans="1:17" x14ac:dyDescent="0.25">
      <c r="A252" s="199"/>
      <c r="B252" s="199"/>
      <c r="C252" s="199"/>
      <c r="D252" s="199"/>
      <c r="E252" s="199"/>
      <c r="F252" s="199"/>
      <c r="G252" s="199"/>
      <c r="H252" s="203"/>
      <c r="I252" s="199"/>
      <c r="J252" s="199"/>
      <c r="K252" s="199"/>
      <c r="L252" s="199"/>
      <c r="M252" s="199"/>
      <c r="N252" s="199"/>
      <c r="O252" s="199"/>
      <c r="P252" s="199"/>
      <c r="Q252" s="199"/>
    </row>
    <row r="253" spans="1:17" x14ac:dyDescent="0.25">
      <c r="A253" s="199"/>
      <c r="B253" s="199"/>
      <c r="C253" s="199"/>
      <c r="D253" s="199"/>
      <c r="E253" s="199"/>
      <c r="F253" s="199"/>
      <c r="G253" s="199"/>
      <c r="H253" s="203"/>
      <c r="I253" s="199"/>
      <c r="J253" s="199"/>
      <c r="K253" s="199"/>
      <c r="L253" s="199"/>
      <c r="M253" s="199"/>
      <c r="N253" s="199"/>
      <c r="O253" s="199"/>
      <c r="P253" s="199"/>
      <c r="Q253" s="199"/>
    </row>
    <row r="254" spans="1:17" x14ac:dyDescent="0.25">
      <c r="A254" s="199"/>
      <c r="B254" s="199"/>
      <c r="C254" s="199"/>
      <c r="D254" s="199"/>
      <c r="E254" s="199"/>
      <c r="F254" s="199"/>
      <c r="G254" s="199"/>
      <c r="H254" s="203"/>
      <c r="I254" s="199"/>
      <c r="J254" s="199"/>
      <c r="K254" s="199"/>
      <c r="L254" s="199"/>
      <c r="M254" s="199"/>
      <c r="N254" s="199"/>
      <c r="O254" s="199"/>
      <c r="P254" s="199"/>
      <c r="Q254" s="199"/>
    </row>
    <row r="255" spans="1:17" x14ac:dyDescent="0.25">
      <c r="A255" s="199"/>
      <c r="B255" s="199"/>
      <c r="C255" s="199"/>
      <c r="D255" s="199"/>
      <c r="E255" s="199"/>
      <c r="F255" s="199"/>
      <c r="G255" s="199"/>
      <c r="H255" s="203"/>
      <c r="I255" s="199"/>
      <c r="J255" s="199"/>
      <c r="K255" s="199"/>
      <c r="L255" s="199"/>
      <c r="M255" s="199"/>
      <c r="N255" s="199"/>
      <c r="O255" s="199"/>
      <c r="P255" s="199"/>
      <c r="Q255" s="199"/>
    </row>
    <row r="256" spans="1:17" x14ac:dyDescent="0.25">
      <c r="A256" s="199"/>
      <c r="B256" s="199"/>
      <c r="C256" s="199"/>
      <c r="D256" s="199"/>
      <c r="E256" s="199"/>
      <c r="F256" s="199"/>
      <c r="G256" s="199"/>
      <c r="H256" s="203"/>
      <c r="I256" s="199"/>
      <c r="J256" s="199"/>
      <c r="K256" s="199"/>
      <c r="L256" s="199"/>
      <c r="M256" s="199"/>
      <c r="N256" s="199"/>
      <c r="O256" s="199"/>
      <c r="P256" s="199"/>
      <c r="Q256" s="199"/>
    </row>
    <row r="257" spans="1:17" x14ac:dyDescent="0.25">
      <c r="A257" s="199"/>
      <c r="B257" s="199"/>
      <c r="C257" s="199"/>
      <c r="D257" s="199"/>
      <c r="E257" s="199"/>
      <c r="F257" s="199"/>
      <c r="G257" s="199"/>
      <c r="H257" s="203"/>
      <c r="I257" s="199"/>
      <c r="J257" s="199"/>
      <c r="K257" s="199"/>
      <c r="L257" s="199"/>
      <c r="M257" s="199"/>
      <c r="N257" s="199"/>
      <c r="O257" s="199"/>
      <c r="P257" s="199"/>
      <c r="Q257" s="199"/>
    </row>
    <row r="258" spans="1:17" x14ac:dyDescent="0.25">
      <c r="A258" s="199"/>
      <c r="B258" s="199"/>
      <c r="C258" s="199"/>
      <c r="D258" s="199"/>
      <c r="E258" s="199"/>
      <c r="F258" s="199"/>
      <c r="G258" s="199"/>
      <c r="H258" s="203"/>
      <c r="I258" s="199"/>
      <c r="J258" s="199"/>
      <c r="K258" s="199"/>
      <c r="L258" s="199"/>
      <c r="M258" s="199"/>
      <c r="N258" s="199"/>
      <c r="O258" s="199"/>
      <c r="P258" s="199"/>
      <c r="Q258" s="199"/>
    </row>
    <row r="259" spans="1:17" x14ac:dyDescent="0.25">
      <c r="A259" s="199"/>
      <c r="B259" s="199"/>
      <c r="C259" s="199"/>
      <c r="D259" s="199"/>
      <c r="E259" s="199"/>
      <c r="F259" s="199"/>
      <c r="G259" s="199"/>
      <c r="H259" s="203"/>
      <c r="I259" s="199"/>
      <c r="J259" s="199"/>
      <c r="K259" s="199"/>
      <c r="L259" s="199"/>
      <c r="M259" s="199"/>
      <c r="N259" s="199"/>
      <c r="O259" s="199"/>
      <c r="P259" s="199"/>
      <c r="Q259" s="199"/>
    </row>
    <row r="260" spans="1:17" x14ac:dyDescent="0.25">
      <c r="A260" s="199"/>
      <c r="B260" s="199"/>
      <c r="C260" s="199"/>
      <c r="D260" s="199"/>
      <c r="E260" s="199"/>
      <c r="F260" s="199"/>
      <c r="G260" s="199"/>
      <c r="H260" s="203"/>
      <c r="I260" s="199"/>
      <c r="J260" s="199"/>
      <c r="K260" s="199"/>
      <c r="L260" s="199"/>
      <c r="M260" s="199"/>
      <c r="N260" s="199"/>
      <c r="O260" s="199"/>
      <c r="P260" s="199"/>
      <c r="Q260" s="199"/>
    </row>
    <row r="261" spans="1:17" x14ac:dyDescent="0.25">
      <c r="A261" s="199"/>
      <c r="B261" s="199"/>
      <c r="C261" s="199"/>
      <c r="D261" s="199"/>
      <c r="E261" s="199"/>
      <c r="F261" s="199"/>
      <c r="G261" s="199"/>
      <c r="H261" s="203"/>
      <c r="I261" s="199"/>
      <c r="J261" s="199"/>
      <c r="K261" s="199"/>
      <c r="L261" s="199"/>
      <c r="M261" s="199"/>
      <c r="N261" s="199"/>
      <c r="O261" s="199"/>
      <c r="P261" s="199"/>
      <c r="Q261" s="199"/>
    </row>
    <row r="262" spans="1:17" x14ac:dyDescent="0.25">
      <c r="A262" s="199"/>
      <c r="B262" s="199"/>
      <c r="C262" s="199"/>
      <c r="D262" s="199"/>
      <c r="E262" s="199"/>
      <c r="F262" s="199"/>
      <c r="G262" s="199"/>
      <c r="H262" s="203"/>
      <c r="I262" s="199"/>
      <c r="J262" s="199"/>
      <c r="K262" s="199"/>
      <c r="L262" s="199"/>
      <c r="M262" s="199"/>
      <c r="N262" s="199"/>
      <c r="O262" s="199"/>
      <c r="P262" s="199"/>
      <c r="Q262" s="199"/>
    </row>
    <row r="263" spans="1:17" x14ac:dyDescent="0.25">
      <c r="A263" s="199"/>
      <c r="B263" s="199"/>
      <c r="C263" s="199"/>
      <c r="D263" s="199"/>
      <c r="E263" s="199"/>
      <c r="F263" s="199"/>
      <c r="G263" s="199"/>
      <c r="H263" s="203"/>
      <c r="I263" s="199"/>
      <c r="J263" s="199"/>
      <c r="K263" s="199"/>
      <c r="L263" s="199"/>
      <c r="M263" s="199"/>
      <c r="N263" s="199"/>
      <c r="O263" s="199"/>
      <c r="P263" s="199"/>
      <c r="Q263" s="199"/>
    </row>
    <row r="264" spans="1:17" x14ac:dyDescent="0.25">
      <c r="A264" s="199"/>
      <c r="B264" s="199"/>
      <c r="C264" s="199"/>
      <c r="D264" s="199"/>
      <c r="E264" s="199"/>
      <c r="F264" s="199"/>
      <c r="G264" s="199"/>
      <c r="H264" s="203"/>
      <c r="I264" s="199"/>
      <c r="J264" s="199"/>
      <c r="K264" s="199"/>
      <c r="L264" s="199"/>
      <c r="M264" s="199"/>
      <c r="N264" s="199"/>
      <c r="O264" s="199"/>
      <c r="P264" s="199"/>
      <c r="Q264" s="199"/>
    </row>
    <row r="265" spans="1:17" x14ac:dyDescent="0.25">
      <c r="A265" s="199"/>
      <c r="B265" s="199"/>
      <c r="C265" s="199"/>
      <c r="D265" s="199"/>
      <c r="E265" s="199"/>
      <c r="F265" s="199"/>
      <c r="G265" s="199"/>
      <c r="H265" s="203"/>
      <c r="I265" s="199"/>
      <c r="J265" s="199"/>
      <c r="K265" s="199"/>
      <c r="L265" s="199"/>
      <c r="M265" s="199"/>
      <c r="N265" s="199"/>
      <c r="O265" s="199"/>
      <c r="P265" s="199"/>
      <c r="Q265" s="199"/>
    </row>
    <row r="266" spans="1:17" x14ac:dyDescent="0.25">
      <c r="A266" s="199"/>
      <c r="B266" s="199"/>
      <c r="C266" s="199"/>
      <c r="D266" s="199"/>
      <c r="E266" s="199"/>
      <c r="F266" s="199"/>
      <c r="G266" s="199"/>
      <c r="H266" s="203"/>
      <c r="I266" s="199"/>
      <c r="J266" s="199"/>
      <c r="K266" s="199"/>
      <c r="L266" s="199"/>
      <c r="M266" s="199"/>
      <c r="N266" s="199"/>
      <c r="O266" s="199"/>
      <c r="P266" s="199"/>
      <c r="Q266" s="199"/>
    </row>
    <row r="267" spans="1:17" x14ac:dyDescent="0.25">
      <c r="A267" s="199"/>
      <c r="B267" s="199"/>
      <c r="C267" s="199"/>
      <c r="D267" s="199"/>
      <c r="E267" s="199"/>
      <c r="F267" s="199"/>
      <c r="G267" s="199"/>
      <c r="H267" s="203"/>
      <c r="I267" s="199"/>
      <c r="J267" s="199"/>
      <c r="K267" s="199"/>
      <c r="L267" s="199"/>
      <c r="M267" s="199"/>
      <c r="N267" s="199"/>
      <c r="O267" s="199"/>
      <c r="P267" s="199"/>
      <c r="Q267" s="199"/>
    </row>
    <row r="268" spans="1:17" x14ac:dyDescent="0.25">
      <c r="A268" s="199"/>
      <c r="B268" s="199"/>
      <c r="C268" s="199"/>
      <c r="D268" s="199"/>
      <c r="E268" s="199"/>
      <c r="F268" s="199"/>
      <c r="G268" s="199"/>
      <c r="H268" s="203"/>
      <c r="I268" s="199"/>
      <c r="J268" s="199"/>
      <c r="K268" s="199"/>
      <c r="L268" s="199"/>
      <c r="M268" s="199"/>
      <c r="N268" s="199"/>
      <c r="O268" s="199"/>
      <c r="P268" s="199"/>
      <c r="Q268" s="199"/>
    </row>
    <row r="269" spans="1:17" x14ac:dyDescent="0.25">
      <c r="A269" s="199"/>
      <c r="B269" s="199"/>
      <c r="C269" s="199"/>
      <c r="D269" s="199"/>
      <c r="E269" s="199"/>
      <c r="F269" s="199"/>
      <c r="G269" s="199"/>
      <c r="H269" s="203"/>
      <c r="I269" s="199"/>
      <c r="J269" s="199"/>
      <c r="K269" s="199"/>
      <c r="L269" s="199"/>
      <c r="M269" s="199"/>
      <c r="N269" s="199"/>
      <c r="O269" s="199"/>
      <c r="P269" s="199"/>
      <c r="Q269" s="199"/>
    </row>
    <row r="270" spans="1:17" x14ac:dyDescent="0.25">
      <c r="A270" s="199"/>
      <c r="B270" s="199"/>
      <c r="C270" s="199"/>
      <c r="D270" s="199"/>
      <c r="E270" s="199"/>
      <c r="F270" s="199"/>
      <c r="G270" s="199"/>
      <c r="H270" s="203"/>
      <c r="I270" s="199"/>
      <c r="J270" s="199"/>
      <c r="K270" s="199"/>
      <c r="L270" s="199"/>
      <c r="M270" s="199"/>
      <c r="N270" s="199"/>
      <c r="O270" s="199"/>
      <c r="P270" s="199"/>
      <c r="Q270" s="199"/>
    </row>
    <row r="271" spans="1:17" x14ac:dyDescent="0.25">
      <c r="A271" s="199"/>
      <c r="B271" s="199"/>
      <c r="C271" s="199"/>
      <c r="D271" s="199"/>
      <c r="E271" s="199"/>
      <c r="F271" s="199"/>
      <c r="G271" s="199"/>
      <c r="H271" s="203"/>
      <c r="I271" s="199"/>
      <c r="J271" s="199"/>
      <c r="K271" s="199"/>
      <c r="L271" s="199"/>
      <c r="M271" s="199"/>
      <c r="N271" s="199"/>
      <c r="O271" s="199"/>
      <c r="P271" s="199"/>
      <c r="Q271" s="199"/>
    </row>
    <row r="272" spans="1:17" x14ac:dyDescent="0.25">
      <c r="A272" s="199"/>
      <c r="B272" s="199"/>
      <c r="C272" s="199"/>
      <c r="D272" s="199"/>
      <c r="E272" s="199"/>
      <c r="F272" s="199"/>
      <c r="G272" s="199"/>
      <c r="H272" s="203"/>
      <c r="I272" s="199"/>
      <c r="J272" s="199"/>
      <c r="K272" s="199"/>
      <c r="L272" s="199"/>
      <c r="M272" s="199"/>
      <c r="N272" s="199"/>
      <c r="O272" s="199"/>
      <c r="P272" s="199"/>
      <c r="Q272" s="199"/>
    </row>
    <row r="273" spans="1:17" x14ac:dyDescent="0.25">
      <c r="A273" s="199"/>
      <c r="B273" s="199"/>
      <c r="C273" s="199"/>
      <c r="D273" s="199"/>
      <c r="E273" s="199"/>
      <c r="F273" s="199"/>
      <c r="G273" s="199"/>
      <c r="H273" s="203"/>
      <c r="I273" s="199"/>
      <c r="J273" s="199"/>
      <c r="K273" s="199"/>
      <c r="L273" s="199"/>
      <c r="M273" s="199"/>
      <c r="N273" s="199"/>
      <c r="O273" s="199"/>
      <c r="P273" s="199"/>
      <c r="Q273" s="199"/>
    </row>
    <row r="274" spans="1:17" x14ac:dyDescent="0.25">
      <c r="A274" s="199"/>
      <c r="B274" s="199"/>
      <c r="C274" s="199"/>
      <c r="D274" s="199"/>
      <c r="E274" s="199"/>
      <c r="F274" s="199"/>
      <c r="G274" s="199"/>
      <c r="H274" s="203"/>
      <c r="I274" s="199"/>
      <c r="J274" s="199"/>
      <c r="K274" s="199"/>
      <c r="L274" s="199"/>
      <c r="M274" s="199"/>
      <c r="N274" s="199"/>
      <c r="O274" s="199"/>
      <c r="P274" s="199"/>
      <c r="Q274" s="199"/>
    </row>
    <row r="275" spans="1:17" x14ac:dyDescent="0.25">
      <c r="A275" s="199"/>
      <c r="B275" s="199"/>
      <c r="C275" s="199"/>
      <c r="D275" s="199"/>
      <c r="E275" s="199"/>
      <c r="F275" s="199"/>
      <c r="G275" s="199"/>
      <c r="H275" s="203"/>
      <c r="I275" s="199"/>
      <c r="J275" s="199"/>
      <c r="K275" s="199"/>
      <c r="L275" s="199"/>
      <c r="M275" s="199"/>
      <c r="N275" s="199"/>
      <c r="O275" s="199"/>
      <c r="P275" s="199"/>
      <c r="Q275" s="199"/>
    </row>
    <row r="276" spans="1:17" x14ac:dyDescent="0.25">
      <c r="A276" s="199"/>
      <c r="B276" s="199"/>
      <c r="C276" s="199"/>
      <c r="D276" s="199"/>
      <c r="E276" s="199"/>
      <c r="F276" s="199"/>
      <c r="G276" s="199"/>
      <c r="H276" s="203"/>
      <c r="I276" s="199"/>
      <c r="J276" s="199"/>
      <c r="K276" s="199"/>
      <c r="L276" s="199"/>
      <c r="M276" s="199"/>
      <c r="N276" s="199"/>
      <c r="O276" s="199"/>
      <c r="P276" s="199"/>
      <c r="Q276" s="199"/>
    </row>
    <row r="277" spans="1:17" x14ac:dyDescent="0.25">
      <c r="A277" s="199"/>
      <c r="B277" s="199"/>
      <c r="C277" s="199"/>
      <c r="D277" s="199"/>
      <c r="E277" s="199"/>
      <c r="F277" s="199"/>
      <c r="G277" s="199"/>
      <c r="H277" s="203"/>
      <c r="I277" s="199"/>
      <c r="J277" s="199"/>
      <c r="K277" s="199"/>
      <c r="L277" s="199"/>
      <c r="M277" s="199"/>
      <c r="N277" s="199"/>
      <c r="O277" s="199"/>
      <c r="P277" s="199"/>
      <c r="Q277" s="199"/>
    </row>
    <row r="278" spans="1:17" x14ac:dyDescent="0.25">
      <c r="A278" s="199"/>
      <c r="B278" s="199"/>
      <c r="C278" s="199"/>
      <c r="D278" s="199"/>
      <c r="E278" s="199"/>
      <c r="F278" s="199"/>
      <c r="G278" s="199"/>
      <c r="H278" s="203"/>
      <c r="I278" s="199"/>
      <c r="J278" s="199"/>
      <c r="K278" s="199"/>
      <c r="L278" s="199"/>
      <c r="M278" s="199"/>
      <c r="N278" s="199"/>
      <c r="O278" s="199"/>
      <c r="P278" s="199"/>
      <c r="Q278" s="199"/>
    </row>
    <row r="279" spans="1:17" x14ac:dyDescent="0.25">
      <c r="A279" s="199"/>
      <c r="B279" s="199"/>
      <c r="C279" s="199"/>
      <c r="D279" s="199"/>
      <c r="E279" s="199"/>
      <c r="F279" s="199"/>
      <c r="G279" s="199"/>
      <c r="H279" s="203"/>
      <c r="I279" s="199"/>
      <c r="J279" s="199"/>
      <c r="K279" s="199"/>
      <c r="L279" s="199"/>
      <c r="M279" s="199"/>
      <c r="N279" s="199"/>
      <c r="O279" s="199"/>
      <c r="P279" s="199"/>
      <c r="Q279" s="199"/>
    </row>
    <row r="280" spans="1:17" x14ac:dyDescent="0.25">
      <c r="A280" s="199"/>
      <c r="B280" s="199"/>
      <c r="C280" s="199"/>
      <c r="D280" s="199"/>
      <c r="E280" s="199"/>
      <c r="F280" s="199"/>
      <c r="G280" s="199"/>
      <c r="H280" s="203"/>
      <c r="I280" s="199"/>
      <c r="J280" s="199"/>
      <c r="K280" s="199"/>
      <c r="L280" s="199"/>
      <c r="M280" s="199"/>
      <c r="N280" s="199"/>
      <c r="O280" s="199"/>
      <c r="P280" s="199"/>
      <c r="Q280" s="199"/>
    </row>
    <row r="281" spans="1:17" x14ac:dyDescent="0.25">
      <c r="A281" s="199"/>
      <c r="B281" s="199"/>
      <c r="C281" s="199"/>
      <c r="D281" s="199"/>
      <c r="E281" s="199"/>
      <c r="F281" s="199"/>
      <c r="G281" s="199"/>
      <c r="H281" s="203"/>
      <c r="I281" s="199"/>
      <c r="J281" s="199"/>
      <c r="K281" s="199"/>
      <c r="L281" s="199"/>
      <c r="M281" s="199"/>
      <c r="N281" s="199"/>
      <c r="O281" s="199"/>
      <c r="P281" s="199"/>
      <c r="Q281" s="199"/>
    </row>
    <row r="282" spans="1:17" x14ac:dyDescent="0.25">
      <c r="A282" s="199"/>
      <c r="B282" s="199"/>
      <c r="C282" s="199"/>
      <c r="D282" s="199"/>
      <c r="E282" s="199"/>
      <c r="F282" s="199"/>
      <c r="G282" s="199"/>
      <c r="H282" s="203"/>
      <c r="I282" s="199"/>
      <c r="J282" s="199"/>
      <c r="K282" s="199"/>
      <c r="L282" s="199"/>
      <c r="M282" s="199"/>
      <c r="N282" s="199"/>
      <c r="O282" s="199"/>
      <c r="P282" s="199"/>
      <c r="Q282" s="199"/>
    </row>
    <row r="283" spans="1:17" x14ac:dyDescent="0.25">
      <c r="A283" s="199"/>
      <c r="B283" s="199"/>
      <c r="C283" s="199"/>
      <c r="D283" s="199"/>
      <c r="E283" s="199"/>
      <c r="F283" s="199"/>
      <c r="G283" s="199"/>
      <c r="H283" s="203"/>
      <c r="I283" s="199"/>
      <c r="J283" s="199"/>
      <c r="K283" s="199"/>
      <c r="L283" s="199"/>
      <c r="M283" s="199"/>
      <c r="N283" s="199"/>
      <c r="O283" s="199"/>
      <c r="P283" s="199"/>
      <c r="Q283" s="199"/>
    </row>
    <row r="284" spans="1:17" x14ac:dyDescent="0.25">
      <c r="A284" s="199"/>
      <c r="B284" s="199"/>
      <c r="C284" s="199"/>
      <c r="D284" s="199"/>
      <c r="E284" s="199"/>
      <c r="F284" s="199"/>
      <c r="G284" s="199"/>
      <c r="H284" s="203"/>
      <c r="I284" s="199"/>
      <c r="J284" s="199"/>
      <c r="K284" s="199"/>
      <c r="L284" s="199"/>
      <c r="M284" s="199"/>
      <c r="N284" s="199"/>
      <c r="O284" s="199"/>
      <c r="P284" s="199"/>
      <c r="Q284" s="199"/>
    </row>
    <row r="285" spans="1:17" x14ac:dyDescent="0.25">
      <c r="A285" s="199"/>
      <c r="B285" s="199"/>
      <c r="C285" s="199"/>
      <c r="D285" s="199"/>
      <c r="E285" s="199"/>
      <c r="F285" s="199"/>
      <c r="G285" s="199"/>
      <c r="H285" s="203"/>
      <c r="I285" s="199"/>
      <c r="J285" s="199"/>
      <c r="K285" s="199"/>
      <c r="L285" s="199"/>
      <c r="M285" s="199"/>
      <c r="N285" s="199"/>
      <c r="O285" s="199"/>
      <c r="P285" s="199"/>
      <c r="Q285" s="199"/>
    </row>
    <row r="286" spans="1:17" x14ac:dyDescent="0.25">
      <c r="A286" s="199"/>
      <c r="B286" s="199"/>
      <c r="C286" s="199"/>
      <c r="D286" s="199"/>
      <c r="E286" s="199"/>
      <c r="F286" s="199"/>
      <c r="G286" s="199"/>
      <c r="H286" s="203"/>
      <c r="I286" s="199"/>
      <c r="J286" s="199"/>
      <c r="K286" s="199"/>
      <c r="L286" s="199"/>
      <c r="M286" s="199"/>
      <c r="N286" s="199"/>
      <c r="O286" s="199"/>
      <c r="P286" s="199"/>
      <c r="Q286" s="199"/>
    </row>
    <row r="287" spans="1:17" x14ac:dyDescent="0.25">
      <c r="A287" s="199"/>
      <c r="B287" s="199"/>
      <c r="C287" s="199"/>
      <c r="D287" s="199"/>
      <c r="E287" s="199"/>
      <c r="F287" s="199"/>
      <c r="G287" s="199"/>
      <c r="H287" s="203"/>
      <c r="I287" s="199"/>
      <c r="J287" s="199"/>
      <c r="K287" s="199"/>
      <c r="L287" s="199"/>
      <c r="M287" s="199"/>
      <c r="N287" s="199"/>
      <c r="O287" s="199"/>
      <c r="P287" s="199"/>
      <c r="Q287" s="199"/>
    </row>
    <row r="288" spans="1:17" x14ac:dyDescent="0.25">
      <c r="A288" s="199"/>
      <c r="B288" s="199"/>
      <c r="C288" s="199"/>
      <c r="D288" s="199"/>
      <c r="E288" s="199"/>
      <c r="F288" s="199"/>
      <c r="G288" s="199"/>
      <c r="H288" s="203"/>
      <c r="I288" s="199"/>
      <c r="J288" s="199"/>
      <c r="K288" s="199"/>
      <c r="L288" s="199"/>
      <c r="M288" s="199"/>
      <c r="N288" s="199"/>
      <c r="O288" s="199"/>
      <c r="P288" s="199"/>
      <c r="Q288" s="199"/>
    </row>
    <row r="289" spans="1:17" x14ac:dyDescent="0.25">
      <c r="A289" s="199"/>
      <c r="B289" s="199"/>
      <c r="C289" s="199"/>
      <c r="D289" s="199"/>
      <c r="E289" s="199"/>
      <c r="F289" s="199"/>
      <c r="G289" s="199"/>
      <c r="H289" s="203"/>
      <c r="I289" s="199"/>
      <c r="J289" s="199"/>
      <c r="K289" s="199"/>
      <c r="L289" s="199"/>
      <c r="M289" s="199"/>
      <c r="N289" s="199"/>
      <c r="O289" s="199"/>
      <c r="P289" s="199"/>
      <c r="Q289" s="199"/>
    </row>
    <row r="290" spans="1:17" x14ac:dyDescent="0.25">
      <c r="A290" s="199"/>
      <c r="B290" s="199"/>
      <c r="C290" s="199"/>
      <c r="D290" s="199"/>
      <c r="E290" s="199"/>
      <c r="F290" s="199"/>
      <c r="G290" s="199"/>
      <c r="H290" s="203"/>
      <c r="I290" s="199"/>
      <c r="J290" s="199"/>
      <c r="K290" s="199"/>
      <c r="L290" s="199"/>
      <c r="M290" s="199"/>
      <c r="N290" s="199"/>
      <c r="O290" s="199"/>
      <c r="P290" s="199"/>
      <c r="Q290" s="199"/>
    </row>
    <row r="291" spans="1:17" x14ac:dyDescent="0.25">
      <c r="A291" s="199"/>
      <c r="B291" s="199"/>
      <c r="C291" s="199"/>
      <c r="D291" s="199"/>
      <c r="E291" s="199"/>
      <c r="F291" s="199"/>
      <c r="G291" s="199"/>
      <c r="H291" s="203"/>
      <c r="I291" s="199"/>
      <c r="J291" s="199"/>
      <c r="K291" s="199"/>
      <c r="L291" s="199"/>
      <c r="M291" s="199"/>
      <c r="N291" s="199"/>
      <c r="O291" s="199"/>
      <c r="P291" s="199"/>
      <c r="Q291" s="199"/>
    </row>
    <row r="292" spans="1:17" x14ac:dyDescent="0.25">
      <c r="A292" s="199"/>
      <c r="B292" s="199"/>
      <c r="C292" s="199"/>
      <c r="D292" s="199"/>
      <c r="E292" s="199"/>
      <c r="F292" s="199"/>
      <c r="G292" s="199"/>
      <c r="H292" s="203"/>
      <c r="I292" s="199"/>
      <c r="J292" s="199"/>
      <c r="K292" s="199"/>
      <c r="L292" s="199"/>
      <c r="M292" s="199"/>
      <c r="N292" s="199"/>
      <c r="O292" s="199"/>
      <c r="P292" s="199"/>
      <c r="Q292" s="199"/>
    </row>
    <row r="293" spans="1:17" x14ac:dyDescent="0.25">
      <c r="A293" s="199"/>
      <c r="B293" s="199"/>
      <c r="C293" s="199"/>
      <c r="D293" s="199"/>
      <c r="E293" s="199"/>
      <c r="F293" s="199"/>
      <c r="G293" s="199"/>
      <c r="H293" s="203"/>
      <c r="I293" s="199"/>
      <c r="J293" s="199"/>
      <c r="K293" s="199"/>
      <c r="L293" s="199"/>
      <c r="M293" s="199"/>
      <c r="N293" s="199"/>
      <c r="O293" s="199"/>
      <c r="P293" s="199"/>
      <c r="Q293" s="199"/>
    </row>
    <row r="294" spans="1:17" x14ac:dyDescent="0.25">
      <c r="A294" s="199"/>
      <c r="B294" s="199"/>
      <c r="C294" s="199"/>
      <c r="D294" s="199"/>
      <c r="E294" s="199"/>
      <c r="F294" s="199"/>
      <c r="G294" s="199"/>
      <c r="H294" s="203"/>
      <c r="I294" s="199"/>
      <c r="J294" s="199"/>
      <c r="K294" s="199"/>
      <c r="L294" s="199"/>
      <c r="M294" s="199"/>
      <c r="N294" s="199"/>
      <c r="O294" s="199"/>
      <c r="P294" s="199"/>
      <c r="Q294" s="199"/>
    </row>
    <row r="295" spans="1:17" x14ac:dyDescent="0.25">
      <c r="A295" s="199"/>
      <c r="B295" s="199"/>
      <c r="C295" s="199"/>
      <c r="D295" s="199"/>
      <c r="E295" s="199"/>
      <c r="F295" s="199"/>
      <c r="G295" s="199"/>
      <c r="H295" s="203"/>
      <c r="I295" s="199"/>
      <c r="J295" s="199"/>
      <c r="K295" s="199"/>
      <c r="L295" s="199"/>
      <c r="M295" s="199"/>
      <c r="N295" s="199"/>
      <c r="O295" s="199"/>
      <c r="P295" s="199"/>
      <c r="Q295" s="199"/>
    </row>
    <row r="296" spans="1:17" x14ac:dyDescent="0.25">
      <c r="A296" s="199"/>
      <c r="B296" s="199"/>
      <c r="C296" s="199"/>
      <c r="D296" s="199"/>
      <c r="E296" s="199"/>
      <c r="F296" s="199"/>
      <c r="G296" s="199"/>
      <c r="H296" s="203"/>
      <c r="I296" s="199"/>
      <c r="J296" s="199"/>
      <c r="K296" s="199"/>
      <c r="L296" s="199"/>
      <c r="M296" s="199"/>
      <c r="N296" s="199"/>
      <c r="O296" s="199"/>
      <c r="P296" s="199"/>
      <c r="Q296" s="199"/>
    </row>
    <row r="297" spans="1:17" x14ac:dyDescent="0.25">
      <c r="A297" s="199"/>
      <c r="B297" s="199"/>
      <c r="C297" s="199"/>
      <c r="D297" s="199"/>
      <c r="E297" s="199"/>
      <c r="F297" s="199"/>
      <c r="G297" s="199"/>
      <c r="H297" s="203"/>
      <c r="I297" s="199"/>
      <c r="J297" s="199"/>
      <c r="K297" s="199"/>
      <c r="L297" s="199"/>
      <c r="M297" s="199"/>
      <c r="N297" s="199"/>
      <c r="O297" s="199"/>
      <c r="P297" s="199"/>
      <c r="Q297" s="199"/>
    </row>
    <row r="298" spans="1:17" x14ac:dyDescent="0.25">
      <c r="A298" s="199"/>
      <c r="B298" s="199"/>
      <c r="C298" s="199"/>
      <c r="D298" s="199"/>
      <c r="E298" s="199"/>
      <c r="F298" s="199"/>
      <c r="G298" s="199"/>
      <c r="H298" s="203"/>
      <c r="I298" s="199"/>
      <c r="J298" s="199"/>
      <c r="K298" s="199"/>
      <c r="L298" s="199"/>
      <c r="M298" s="199"/>
      <c r="N298" s="199"/>
      <c r="O298" s="199"/>
      <c r="P298" s="199"/>
      <c r="Q298" s="199"/>
    </row>
    <row r="299" spans="1:17" x14ac:dyDescent="0.25">
      <c r="A299" s="199"/>
      <c r="B299" s="199"/>
      <c r="C299" s="199"/>
      <c r="D299" s="199"/>
      <c r="E299" s="199"/>
      <c r="F299" s="199"/>
      <c r="G299" s="199"/>
      <c r="H299" s="203"/>
      <c r="I299" s="199"/>
      <c r="J299" s="199"/>
      <c r="K299" s="199"/>
      <c r="L299" s="199"/>
      <c r="M299" s="199"/>
      <c r="N299" s="199"/>
      <c r="O299" s="199"/>
      <c r="P299" s="199"/>
      <c r="Q299" s="199"/>
    </row>
    <row r="300" spans="1:17" x14ac:dyDescent="0.25">
      <c r="A300" s="199"/>
      <c r="B300" s="199"/>
      <c r="C300" s="199"/>
      <c r="D300" s="199"/>
      <c r="E300" s="199"/>
      <c r="F300" s="199"/>
      <c r="G300" s="199"/>
      <c r="H300" s="203"/>
      <c r="I300" s="199"/>
      <c r="J300" s="199"/>
      <c r="K300" s="199"/>
      <c r="L300" s="199"/>
      <c r="M300" s="199"/>
      <c r="N300" s="199"/>
      <c r="O300" s="199"/>
      <c r="P300" s="199"/>
      <c r="Q300" s="199"/>
    </row>
    <row r="301" spans="1:17" x14ac:dyDescent="0.25">
      <c r="A301" s="199"/>
      <c r="B301" s="199"/>
      <c r="C301" s="199"/>
      <c r="D301" s="199"/>
      <c r="E301" s="199"/>
      <c r="F301" s="199"/>
      <c r="G301" s="199"/>
      <c r="H301" s="203"/>
      <c r="I301" s="199"/>
      <c r="J301" s="199"/>
      <c r="K301" s="199"/>
      <c r="L301" s="199"/>
      <c r="M301" s="199"/>
      <c r="N301" s="199"/>
      <c r="O301" s="199"/>
      <c r="P301" s="199"/>
      <c r="Q301" s="199"/>
    </row>
    <row r="302" spans="1:17" x14ac:dyDescent="0.25">
      <c r="A302" s="199"/>
      <c r="B302" s="199"/>
      <c r="C302" s="199"/>
      <c r="D302" s="199"/>
      <c r="E302" s="199"/>
      <c r="F302" s="199"/>
      <c r="G302" s="199"/>
      <c r="H302" s="203"/>
      <c r="I302" s="199"/>
      <c r="J302" s="199"/>
      <c r="K302" s="199"/>
      <c r="L302" s="199"/>
      <c r="M302" s="199"/>
      <c r="N302" s="199"/>
      <c r="O302" s="199"/>
      <c r="P302" s="199"/>
      <c r="Q302" s="199"/>
    </row>
    <row r="303" spans="1:17" x14ac:dyDescent="0.25">
      <c r="A303" s="199"/>
      <c r="B303" s="199"/>
      <c r="C303" s="199"/>
      <c r="D303" s="199"/>
      <c r="E303" s="199"/>
      <c r="F303" s="199"/>
      <c r="G303" s="199"/>
      <c r="H303" s="203"/>
      <c r="I303" s="199"/>
      <c r="J303" s="199"/>
      <c r="K303" s="199"/>
      <c r="L303" s="199"/>
      <c r="M303" s="199"/>
      <c r="N303" s="199"/>
      <c r="O303" s="199"/>
      <c r="P303" s="199"/>
      <c r="Q303" s="199"/>
    </row>
    <row r="304" spans="1:17" x14ac:dyDescent="0.25">
      <c r="A304" s="199"/>
      <c r="B304" s="199"/>
      <c r="C304" s="199"/>
      <c r="D304" s="199"/>
      <c r="E304" s="199"/>
      <c r="F304" s="199"/>
      <c r="G304" s="199"/>
      <c r="H304" s="203"/>
      <c r="I304" s="199"/>
      <c r="J304" s="199"/>
      <c r="K304" s="199"/>
      <c r="L304" s="199"/>
      <c r="M304" s="199"/>
      <c r="N304" s="199"/>
      <c r="O304" s="199"/>
      <c r="P304" s="199"/>
      <c r="Q304" s="199"/>
    </row>
    <row r="305" spans="1:17" x14ac:dyDescent="0.25">
      <c r="A305" s="199"/>
      <c r="B305" s="199"/>
      <c r="C305" s="199"/>
      <c r="D305" s="199"/>
      <c r="E305" s="199"/>
      <c r="F305" s="199"/>
      <c r="G305" s="199"/>
      <c r="H305" s="203"/>
      <c r="I305" s="199"/>
      <c r="J305" s="199"/>
      <c r="K305" s="199"/>
      <c r="L305" s="199"/>
      <c r="M305" s="199"/>
      <c r="N305" s="199"/>
      <c r="O305" s="199"/>
      <c r="P305" s="199"/>
      <c r="Q305" s="199"/>
    </row>
    <row r="306" spans="1:17" x14ac:dyDescent="0.25">
      <c r="A306" s="199"/>
      <c r="B306" s="199"/>
      <c r="C306" s="199"/>
      <c r="D306" s="199"/>
      <c r="E306" s="199"/>
      <c r="F306" s="199"/>
      <c r="G306" s="199"/>
      <c r="H306" s="203"/>
      <c r="I306" s="199"/>
      <c r="J306" s="199"/>
      <c r="K306" s="199"/>
      <c r="L306" s="199"/>
      <c r="M306" s="199"/>
      <c r="N306" s="199"/>
      <c r="O306" s="199"/>
      <c r="P306" s="199"/>
      <c r="Q306" s="199"/>
    </row>
    <row r="307" spans="1:17" x14ac:dyDescent="0.25">
      <c r="A307" s="199"/>
      <c r="B307" s="199"/>
      <c r="C307" s="199"/>
      <c r="D307" s="199"/>
      <c r="E307" s="199"/>
      <c r="F307" s="199"/>
      <c r="G307" s="199"/>
      <c r="H307" s="203"/>
      <c r="I307" s="199"/>
      <c r="J307" s="199"/>
      <c r="K307" s="199"/>
      <c r="L307" s="199"/>
      <c r="M307" s="199"/>
      <c r="N307" s="199"/>
      <c r="O307" s="199"/>
      <c r="P307" s="199"/>
      <c r="Q307" s="199"/>
    </row>
    <row r="308" spans="1:17" x14ac:dyDescent="0.25">
      <c r="A308" s="199"/>
      <c r="B308" s="199"/>
      <c r="C308" s="199"/>
      <c r="D308" s="199"/>
      <c r="E308" s="199"/>
      <c r="F308" s="199"/>
      <c r="G308" s="199"/>
      <c r="H308" s="203"/>
      <c r="I308" s="199"/>
      <c r="J308" s="199"/>
      <c r="K308" s="199"/>
      <c r="L308" s="199"/>
      <c r="M308" s="199"/>
      <c r="N308" s="199"/>
      <c r="O308" s="199"/>
      <c r="P308" s="199"/>
      <c r="Q308" s="199"/>
    </row>
    <row r="309" spans="1:17" x14ac:dyDescent="0.25">
      <c r="A309" s="199"/>
      <c r="B309" s="199"/>
      <c r="C309" s="199"/>
      <c r="D309" s="199"/>
      <c r="E309" s="199"/>
      <c r="F309" s="199"/>
      <c r="G309" s="199"/>
      <c r="H309" s="203"/>
      <c r="I309" s="199"/>
      <c r="J309" s="199"/>
      <c r="K309" s="199"/>
      <c r="L309" s="199"/>
      <c r="M309" s="199"/>
      <c r="N309" s="199"/>
      <c r="O309" s="199"/>
      <c r="P309" s="199"/>
      <c r="Q309" s="199"/>
    </row>
    <row r="310" spans="1:17" x14ac:dyDescent="0.25">
      <c r="A310" s="199"/>
      <c r="B310" s="199"/>
      <c r="C310" s="199"/>
      <c r="D310" s="199"/>
      <c r="E310" s="199"/>
      <c r="F310" s="199"/>
      <c r="G310" s="199"/>
      <c r="H310" s="203"/>
      <c r="I310" s="199"/>
      <c r="J310" s="199"/>
      <c r="K310" s="199"/>
      <c r="L310" s="199"/>
      <c r="M310" s="199"/>
      <c r="N310" s="199"/>
      <c r="O310" s="199"/>
      <c r="P310" s="199"/>
      <c r="Q310" s="199"/>
    </row>
    <row r="311" spans="1:17" x14ac:dyDescent="0.25">
      <c r="A311" s="199"/>
      <c r="B311" s="199"/>
      <c r="C311" s="199"/>
      <c r="D311" s="199"/>
      <c r="E311" s="199"/>
      <c r="F311" s="199"/>
      <c r="G311" s="199"/>
      <c r="H311" s="203"/>
      <c r="I311" s="199"/>
      <c r="J311" s="199"/>
      <c r="K311" s="199"/>
      <c r="L311" s="199"/>
      <c r="M311" s="199"/>
      <c r="N311" s="199"/>
      <c r="O311" s="199"/>
      <c r="P311" s="199"/>
      <c r="Q311" s="199"/>
    </row>
    <row r="312" spans="1:17" x14ac:dyDescent="0.25">
      <c r="A312" s="199"/>
      <c r="B312" s="199"/>
      <c r="C312" s="199"/>
      <c r="D312" s="199"/>
      <c r="E312" s="199"/>
      <c r="F312" s="199"/>
      <c r="G312" s="199"/>
      <c r="H312" s="203"/>
      <c r="I312" s="199"/>
      <c r="J312" s="199"/>
      <c r="K312" s="199"/>
      <c r="L312" s="199"/>
      <c r="M312" s="199"/>
      <c r="N312" s="199"/>
      <c r="O312" s="199"/>
      <c r="P312" s="199"/>
      <c r="Q312" s="199"/>
    </row>
    <row r="313" spans="1:17" x14ac:dyDescent="0.25">
      <c r="A313" s="199"/>
      <c r="B313" s="199"/>
      <c r="C313" s="199"/>
      <c r="D313" s="199"/>
      <c r="E313" s="199"/>
      <c r="F313" s="199"/>
      <c r="G313" s="199"/>
      <c r="H313" s="203"/>
      <c r="I313" s="199"/>
      <c r="J313" s="199"/>
      <c r="K313" s="199"/>
      <c r="L313" s="199"/>
      <c r="M313" s="199"/>
      <c r="N313" s="199"/>
      <c r="O313" s="199"/>
      <c r="P313" s="199"/>
      <c r="Q313" s="199"/>
    </row>
    <row r="314" spans="1:17" x14ac:dyDescent="0.25">
      <c r="A314" s="199"/>
      <c r="B314" s="199"/>
      <c r="C314" s="199"/>
      <c r="D314" s="199"/>
      <c r="E314" s="199"/>
      <c r="F314" s="199"/>
      <c r="G314" s="199"/>
      <c r="H314" s="203"/>
      <c r="I314" s="199"/>
      <c r="J314" s="199"/>
      <c r="K314" s="199"/>
      <c r="L314" s="199"/>
      <c r="M314" s="199"/>
      <c r="N314" s="199"/>
      <c r="O314" s="199"/>
      <c r="P314" s="199"/>
      <c r="Q314" s="199"/>
    </row>
    <row r="315" spans="1:17" x14ac:dyDescent="0.25">
      <c r="A315" s="199"/>
      <c r="B315" s="199"/>
      <c r="C315" s="199"/>
      <c r="D315" s="199"/>
      <c r="E315" s="199"/>
      <c r="F315" s="199"/>
      <c r="G315" s="199"/>
      <c r="H315" s="203"/>
      <c r="I315" s="199"/>
      <c r="J315" s="199"/>
      <c r="K315" s="199"/>
      <c r="L315" s="199"/>
      <c r="M315" s="199"/>
      <c r="N315" s="199"/>
      <c r="O315" s="199"/>
      <c r="P315" s="199"/>
      <c r="Q315" s="199"/>
    </row>
    <row r="316" spans="1:17" x14ac:dyDescent="0.25">
      <c r="A316" s="199"/>
      <c r="B316" s="199"/>
      <c r="C316" s="199"/>
      <c r="D316" s="199"/>
      <c r="E316" s="199"/>
      <c r="F316" s="199"/>
      <c r="G316" s="199"/>
      <c r="H316" s="203"/>
      <c r="I316" s="199"/>
      <c r="J316" s="199"/>
      <c r="K316" s="199"/>
      <c r="L316" s="199"/>
      <c r="M316" s="199"/>
      <c r="N316" s="199"/>
      <c r="O316" s="199"/>
      <c r="P316" s="199"/>
      <c r="Q316" s="199"/>
    </row>
    <row r="317" spans="1:17" x14ac:dyDescent="0.25">
      <c r="A317" s="199"/>
      <c r="B317" s="199"/>
      <c r="C317" s="199"/>
      <c r="D317" s="199"/>
      <c r="E317" s="199"/>
      <c r="F317" s="199"/>
      <c r="G317" s="199"/>
      <c r="H317" s="203"/>
      <c r="I317" s="199"/>
      <c r="J317" s="199"/>
      <c r="K317" s="199"/>
      <c r="L317" s="199"/>
      <c r="M317" s="199"/>
      <c r="N317" s="199"/>
      <c r="O317" s="199"/>
      <c r="P317" s="199"/>
      <c r="Q317" s="199"/>
    </row>
    <row r="318" spans="1:17" x14ac:dyDescent="0.25">
      <c r="A318" s="199"/>
      <c r="B318" s="199"/>
      <c r="C318" s="199"/>
      <c r="D318" s="199"/>
      <c r="E318" s="199"/>
      <c r="F318" s="199"/>
      <c r="G318" s="199"/>
      <c r="H318" s="203"/>
      <c r="I318" s="199"/>
      <c r="J318" s="199"/>
      <c r="K318" s="199"/>
      <c r="L318" s="199"/>
      <c r="M318" s="199"/>
      <c r="N318" s="199"/>
      <c r="O318" s="199"/>
      <c r="P318" s="199"/>
      <c r="Q318" s="199"/>
    </row>
    <row r="319" spans="1:17" x14ac:dyDescent="0.25">
      <c r="A319" s="199"/>
      <c r="B319" s="199"/>
      <c r="C319" s="199"/>
      <c r="D319" s="199"/>
      <c r="E319" s="199"/>
      <c r="F319" s="199"/>
      <c r="G319" s="199"/>
      <c r="H319" s="203"/>
      <c r="I319" s="199"/>
      <c r="J319" s="199"/>
      <c r="K319" s="199"/>
      <c r="L319" s="199"/>
      <c r="M319" s="199"/>
      <c r="N319" s="199"/>
      <c r="O319" s="199"/>
      <c r="P319" s="199"/>
      <c r="Q319" s="199"/>
    </row>
    <row r="320" spans="1:17" x14ac:dyDescent="0.25">
      <c r="A320" s="199"/>
      <c r="B320" s="199"/>
      <c r="C320" s="199"/>
      <c r="D320" s="199"/>
      <c r="E320" s="199"/>
      <c r="F320" s="199"/>
      <c r="G320" s="199"/>
      <c r="H320" s="203"/>
      <c r="I320" s="199"/>
      <c r="J320" s="199"/>
      <c r="K320" s="199"/>
      <c r="L320" s="199"/>
      <c r="M320" s="199"/>
      <c r="N320" s="199"/>
      <c r="O320" s="199"/>
      <c r="P320" s="199"/>
      <c r="Q320" s="199"/>
    </row>
    <row r="321" spans="1:17" x14ac:dyDescent="0.25">
      <c r="A321" s="199"/>
      <c r="B321" s="199"/>
      <c r="C321" s="199"/>
      <c r="D321" s="199"/>
      <c r="E321" s="199"/>
      <c r="F321" s="199"/>
      <c r="G321" s="199"/>
      <c r="H321" s="203"/>
      <c r="I321" s="199"/>
      <c r="J321" s="199"/>
      <c r="K321" s="199"/>
      <c r="L321" s="199"/>
      <c r="M321" s="199"/>
      <c r="N321" s="199"/>
      <c r="O321" s="199"/>
      <c r="P321" s="199"/>
      <c r="Q321" s="199"/>
    </row>
    <row r="322" spans="1:17" x14ac:dyDescent="0.25">
      <c r="A322" s="199"/>
      <c r="B322" s="199"/>
      <c r="C322" s="199"/>
      <c r="D322" s="199"/>
      <c r="E322" s="199"/>
      <c r="F322" s="199"/>
      <c r="G322" s="199"/>
      <c r="H322" s="203"/>
      <c r="I322" s="199"/>
      <c r="J322" s="199"/>
      <c r="K322" s="199"/>
      <c r="L322" s="199"/>
      <c r="M322" s="199"/>
      <c r="N322" s="199"/>
      <c r="O322" s="199"/>
      <c r="P322" s="199"/>
      <c r="Q322" s="199"/>
    </row>
    <row r="323" spans="1:17" x14ac:dyDescent="0.25">
      <c r="A323" s="199"/>
      <c r="B323" s="199"/>
      <c r="C323" s="199"/>
      <c r="D323" s="199"/>
      <c r="E323" s="199"/>
      <c r="F323" s="199"/>
      <c r="G323" s="199"/>
      <c r="H323" s="203"/>
      <c r="I323" s="199"/>
      <c r="J323" s="199"/>
      <c r="K323" s="199"/>
      <c r="L323" s="199"/>
      <c r="M323" s="199"/>
      <c r="N323" s="199"/>
      <c r="O323" s="199"/>
      <c r="P323" s="199"/>
      <c r="Q323" s="199"/>
    </row>
    <row r="324" spans="1:17" x14ac:dyDescent="0.25">
      <c r="A324" s="199"/>
      <c r="B324" s="199"/>
      <c r="C324" s="199"/>
      <c r="D324" s="199"/>
      <c r="E324" s="199"/>
      <c r="F324" s="199"/>
      <c r="G324" s="199"/>
      <c r="H324" s="203"/>
      <c r="I324" s="199"/>
      <c r="J324" s="199"/>
      <c r="K324" s="199"/>
      <c r="L324" s="199"/>
      <c r="M324" s="199"/>
      <c r="N324" s="199"/>
      <c r="O324" s="199"/>
      <c r="P324" s="199"/>
      <c r="Q324" s="199"/>
    </row>
    <row r="325" spans="1:17" x14ac:dyDescent="0.25">
      <c r="A325" s="199"/>
      <c r="B325" s="199"/>
      <c r="C325" s="199"/>
      <c r="D325" s="199"/>
      <c r="E325" s="199"/>
      <c r="F325" s="199"/>
      <c r="G325" s="199"/>
      <c r="H325" s="203"/>
      <c r="I325" s="199"/>
      <c r="J325" s="199"/>
      <c r="K325" s="199"/>
      <c r="L325" s="199"/>
      <c r="M325" s="199"/>
      <c r="N325" s="199"/>
      <c r="O325" s="199"/>
      <c r="P325" s="199"/>
      <c r="Q325" s="199"/>
    </row>
    <row r="326" spans="1:17" x14ac:dyDescent="0.25">
      <c r="A326" s="199"/>
      <c r="B326" s="199"/>
      <c r="C326" s="199"/>
      <c r="D326" s="199"/>
      <c r="E326" s="199"/>
      <c r="F326" s="199"/>
      <c r="G326" s="199"/>
      <c r="H326" s="203"/>
      <c r="I326" s="199"/>
      <c r="J326" s="199"/>
      <c r="K326" s="199"/>
      <c r="L326" s="199"/>
      <c r="M326" s="199"/>
      <c r="N326" s="199"/>
      <c r="O326" s="199"/>
      <c r="P326" s="199"/>
      <c r="Q326" s="199"/>
    </row>
    <row r="327" spans="1:17" x14ac:dyDescent="0.25">
      <c r="A327" s="199"/>
      <c r="B327" s="199"/>
      <c r="C327" s="199"/>
      <c r="D327" s="199"/>
      <c r="E327" s="199"/>
      <c r="F327" s="199"/>
      <c r="G327" s="199"/>
      <c r="H327" s="203"/>
      <c r="I327" s="199"/>
      <c r="J327" s="199"/>
      <c r="K327" s="199"/>
      <c r="L327" s="199"/>
      <c r="M327" s="199"/>
      <c r="N327" s="199"/>
      <c r="O327" s="199"/>
      <c r="P327" s="199"/>
      <c r="Q327" s="199"/>
    </row>
    <row r="328" spans="1:17" x14ac:dyDescent="0.25">
      <c r="A328" s="199"/>
      <c r="B328" s="199"/>
      <c r="C328" s="199"/>
      <c r="D328" s="199"/>
      <c r="E328" s="199"/>
      <c r="F328" s="199"/>
      <c r="G328" s="199"/>
      <c r="H328" s="203"/>
      <c r="I328" s="199"/>
      <c r="J328" s="199"/>
      <c r="K328" s="199"/>
      <c r="L328" s="199"/>
      <c r="M328" s="199"/>
      <c r="N328" s="199"/>
      <c r="O328" s="199"/>
      <c r="P328" s="199"/>
      <c r="Q328" s="199"/>
    </row>
    <row r="329" spans="1:17" x14ac:dyDescent="0.25">
      <c r="A329" s="199"/>
      <c r="B329" s="199"/>
      <c r="C329" s="199"/>
      <c r="D329" s="199"/>
      <c r="E329" s="199"/>
      <c r="F329" s="199"/>
      <c r="G329" s="199"/>
      <c r="H329" s="203"/>
      <c r="I329" s="199"/>
      <c r="J329" s="199"/>
      <c r="K329" s="199"/>
      <c r="L329" s="199"/>
      <c r="M329" s="199"/>
      <c r="N329" s="199"/>
      <c r="O329" s="199"/>
      <c r="P329" s="199"/>
      <c r="Q329" s="199"/>
    </row>
    <row r="330" spans="1:17" x14ac:dyDescent="0.25">
      <c r="A330" s="199"/>
      <c r="B330" s="199"/>
      <c r="C330" s="199"/>
      <c r="D330" s="199"/>
      <c r="E330" s="199"/>
      <c r="F330" s="199"/>
      <c r="G330" s="199"/>
      <c r="H330" s="203"/>
      <c r="I330" s="199"/>
      <c r="J330" s="199"/>
      <c r="K330" s="199"/>
      <c r="L330" s="199"/>
      <c r="M330" s="199"/>
      <c r="N330" s="199"/>
      <c r="O330" s="199"/>
      <c r="P330" s="199"/>
      <c r="Q330" s="199"/>
    </row>
    <row r="331" spans="1:17" x14ac:dyDescent="0.25">
      <c r="A331" s="199"/>
      <c r="B331" s="199"/>
      <c r="C331" s="199"/>
      <c r="D331" s="199"/>
      <c r="E331" s="199"/>
      <c r="F331" s="199"/>
      <c r="G331" s="199"/>
      <c r="H331" s="203"/>
      <c r="I331" s="199"/>
      <c r="J331" s="199"/>
      <c r="K331" s="199"/>
      <c r="L331" s="199"/>
      <c r="M331" s="199"/>
      <c r="N331" s="199"/>
      <c r="O331" s="199"/>
      <c r="P331" s="199"/>
      <c r="Q331" s="199"/>
    </row>
    <row r="332" spans="1:17" x14ac:dyDescent="0.25">
      <c r="A332" s="199"/>
      <c r="B332" s="199"/>
      <c r="C332" s="199"/>
      <c r="D332" s="199"/>
      <c r="E332" s="199"/>
      <c r="F332" s="199"/>
      <c r="G332" s="199"/>
      <c r="H332" s="203"/>
      <c r="I332" s="199"/>
      <c r="J332" s="199"/>
      <c r="K332" s="199"/>
      <c r="L332" s="199"/>
      <c r="M332" s="199"/>
      <c r="N332" s="199"/>
      <c r="O332" s="199"/>
      <c r="P332" s="199"/>
      <c r="Q332" s="199"/>
    </row>
    <row r="333" spans="1:17" x14ac:dyDescent="0.25">
      <c r="A333" s="199"/>
      <c r="B333" s="199"/>
      <c r="C333" s="199"/>
      <c r="D333" s="199"/>
      <c r="E333" s="199"/>
      <c r="F333" s="199"/>
      <c r="G333" s="199"/>
      <c r="H333" s="203"/>
      <c r="I333" s="199"/>
      <c r="J333" s="199"/>
      <c r="K333" s="199"/>
      <c r="L333" s="199"/>
      <c r="M333" s="199"/>
      <c r="N333" s="199"/>
      <c r="O333" s="199"/>
      <c r="P333" s="199"/>
      <c r="Q333" s="199"/>
    </row>
    <row r="334" spans="1:17" x14ac:dyDescent="0.25">
      <c r="A334" s="199"/>
      <c r="B334" s="199"/>
      <c r="C334" s="199"/>
      <c r="D334" s="199"/>
      <c r="E334" s="199"/>
      <c r="F334" s="199"/>
      <c r="G334" s="199"/>
      <c r="H334" s="203"/>
      <c r="I334" s="199"/>
      <c r="J334" s="199"/>
      <c r="K334" s="199"/>
      <c r="L334" s="199"/>
      <c r="M334" s="199"/>
      <c r="N334" s="199"/>
      <c r="O334" s="199"/>
      <c r="P334" s="199"/>
      <c r="Q334" s="199"/>
    </row>
    <row r="335" spans="1:17" x14ac:dyDescent="0.25">
      <c r="A335" s="199"/>
      <c r="B335" s="199"/>
      <c r="C335" s="199"/>
      <c r="D335" s="199"/>
      <c r="E335" s="199"/>
      <c r="F335" s="199"/>
      <c r="G335" s="199"/>
      <c r="H335" s="203"/>
      <c r="I335" s="199"/>
      <c r="J335" s="199"/>
      <c r="K335" s="199"/>
      <c r="L335" s="199"/>
      <c r="M335" s="199"/>
      <c r="N335" s="199"/>
      <c r="O335" s="199"/>
      <c r="P335" s="199"/>
      <c r="Q335" s="199"/>
    </row>
    <row r="336" spans="1:17" x14ac:dyDescent="0.25">
      <c r="A336" s="199"/>
      <c r="B336" s="199"/>
      <c r="C336" s="199"/>
      <c r="D336" s="199"/>
      <c r="E336" s="199"/>
      <c r="F336" s="199"/>
      <c r="G336" s="199"/>
      <c r="H336" s="203"/>
      <c r="I336" s="199"/>
      <c r="J336" s="199"/>
      <c r="K336" s="199"/>
      <c r="L336" s="199"/>
      <c r="M336" s="199"/>
      <c r="N336" s="199"/>
      <c r="O336" s="199"/>
      <c r="P336" s="199"/>
      <c r="Q336" s="199"/>
    </row>
    <row r="337" spans="1:17" x14ac:dyDescent="0.25">
      <c r="A337" s="199"/>
      <c r="B337" s="199"/>
      <c r="C337" s="199"/>
      <c r="D337" s="199"/>
      <c r="E337" s="199"/>
      <c r="F337" s="199"/>
      <c r="G337" s="199"/>
      <c r="H337" s="203"/>
      <c r="I337" s="199"/>
      <c r="J337" s="199"/>
      <c r="K337" s="199"/>
      <c r="L337" s="199"/>
      <c r="M337" s="199"/>
      <c r="N337" s="199"/>
      <c r="O337" s="199"/>
      <c r="P337" s="199"/>
      <c r="Q337" s="199"/>
    </row>
    <row r="338" spans="1:17" x14ac:dyDescent="0.25">
      <c r="A338" s="199"/>
      <c r="B338" s="199"/>
      <c r="C338" s="199"/>
      <c r="D338" s="199"/>
      <c r="E338" s="199"/>
      <c r="F338" s="199"/>
      <c r="G338" s="199"/>
      <c r="H338" s="203"/>
      <c r="I338" s="199"/>
      <c r="J338" s="199"/>
      <c r="K338" s="199"/>
      <c r="L338" s="199"/>
      <c r="M338" s="199"/>
      <c r="N338" s="199"/>
      <c r="O338" s="199"/>
      <c r="P338" s="199"/>
      <c r="Q338" s="199"/>
    </row>
    <row r="339" spans="1:17" x14ac:dyDescent="0.25">
      <c r="A339" s="199"/>
      <c r="B339" s="199"/>
      <c r="C339" s="199"/>
      <c r="D339" s="199"/>
      <c r="E339" s="199"/>
      <c r="F339" s="199"/>
      <c r="G339" s="199"/>
      <c r="H339" s="203"/>
      <c r="I339" s="199"/>
      <c r="J339" s="199"/>
      <c r="K339" s="199"/>
      <c r="L339" s="199"/>
      <c r="M339" s="199"/>
      <c r="N339" s="199"/>
      <c r="O339" s="199"/>
      <c r="P339" s="199"/>
      <c r="Q339" s="199"/>
    </row>
    <row r="340" spans="1:17" x14ac:dyDescent="0.25">
      <c r="A340" s="199"/>
      <c r="B340" s="199"/>
      <c r="C340" s="199"/>
      <c r="D340" s="199"/>
      <c r="E340" s="199"/>
      <c r="F340" s="199"/>
      <c r="G340" s="199"/>
      <c r="H340" s="203"/>
      <c r="I340" s="199"/>
      <c r="J340" s="199"/>
      <c r="K340" s="199"/>
      <c r="L340" s="199"/>
      <c r="M340" s="199"/>
      <c r="N340" s="199"/>
      <c r="O340" s="199"/>
      <c r="P340" s="199"/>
      <c r="Q340" s="199"/>
    </row>
    <row r="341" spans="1:17" x14ac:dyDescent="0.25">
      <c r="A341" s="199"/>
      <c r="B341" s="199"/>
      <c r="C341" s="199"/>
      <c r="D341" s="199"/>
      <c r="E341" s="199"/>
      <c r="F341" s="199"/>
      <c r="G341" s="199"/>
      <c r="H341" s="203"/>
      <c r="I341" s="199"/>
      <c r="J341" s="199"/>
      <c r="K341" s="199"/>
      <c r="L341" s="199"/>
      <c r="M341" s="199"/>
      <c r="N341" s="199"/>
      <c r="O341" s="199"/>
      <c r="P341" s="199"/>
      <c r="Q341" s="199"/>
    </row>
    <row r="342" spans="1:17" x14ac:dyDescent="0.25">
      <c r="A342" s="199"/>
      <c r="B342" s="199"/>
      <c r="C342" s="199"/>
      <c r="D342" s="199"/>
      <c r="E342" s="199"/>
      <c r="F342" s="199"/>
      <c r="G342" s="199"/>
      <c r="H342" s="203"/>
      <c r="I342" s="199"/>
      <c r="J342" s="199"/>
      <c r="K342" s="199"/>
      <c r="L342" s="199"/>
      <c r="M342" s="199"/>
      <c r="N342" s="199"/>
      <c r="O342" s="199"/>
      <c r="P342" s="199"/>
      <c r="Q342" s="199"/>
    </row>
    <row r="343" spans="1:17" x14ac:dyDescent="0.25">
      <c r="A343" s="199"/>
      <c r="B343" s="199"/>
      <c r="C343" s="199"/>
      <c r="D343" s="199"/>
      <c r="E343" s="199"/>
      <c r="F343" s="199"/>
      <c r="G343" s="199"/>
      <c r="H343" s="203"/>
      <c r="I343" s="199"/>
      <c r="J343" s="199"/>
      <c r="K343" s="199"/>
      <c r="L343" s="199"/>
      <c r="M343" s="199"/>
      <c r="N343" s="199"/>
      <c r="O343" s="199"/>
      <c r="P343" s="199"/>
      <c r="Q343" s="199"/>
    </row>
    <row r="344" spans="1:17" x14ac:dyDescent="0.25">
      <c r="A344" s="199"/>
      <c r="B344" s="199"/>
      <c r="C344" s="199"/>
      <c r="D344" s="199"/>
      <c r="E344" s="199"/>
      <c r="F344" s="199"/>
      <c r="G344" s="199"/>
      <c r="H344" s="203"/>
      <c r="I344" s="199"/>
      <c r="J344" s="199"/>
      <c r="K344" s="199"/>
      <c r="L344" s="199"/>
      <c r="M344" s="199"/>
      <c r="N344" s="199"/>
      <c r="O344" s="199"/>
      <c r="P344" s="199"/>
      <c r="Q344" s="199"/>
    </row>
    <row r="345" spans="1:17" x14ac:dyDescent="0.25">
      <c r="A345" s="199"/>
      <c r="B345" s="199"/>
      <c r="C345" s="199"/>
      <c r="D345" s="199"/>
      <c r="E345" s="199"/>
      <c r="F345" s="199"/>
      <c r="G345" s="199"/>
      <c r="H345" s="203"/>
      <c r="I345" s="199"/>
      <c r="J345" s="199"/>
      <c r="K345" s="199"/>
      <c r="L345" s="199"/>
      <c r="M345" s="199"/>
      <c r="N345" s="199"/>
      <c r="O345" s="199"/>
      <c r="P345" s="199"/>
      <c r="Q345" s="199"/>
    </row>
    <row r="346" spans="1:17" x14ac:dyDescent="0.25">
      <c r="A346" s="199"/>
      <c r="B346" s="199"/>
      <c r="C346" s="199"/>
      <c r="D346" s="199"/>
      <c r="E346" s="199"/>
      <c r="F346" s="199"/>
      <c r="G346" s="199"/>
      <c r="H346" s="203"/>
      <c r="I346" s="199"/>
      <c r="J346" s="199"/>
      <c r="K346" s="199"/>
      <c r="L346" s="199"/>
      <c r="M346" s="199"/>
      <c r="N346" s="199"/>
      <c r="O346" s="199"/>
      <c r="P346" s="199"/>
      <c r="Q346" s="199"/>
    </row>
    <row r="347" spans="1:17" x14ac:dyDescent="0.25">
      <c r="A347" s="199"/>
      <c r="B347" s="199"/>
      <c r="C347" s="199"/>
      <c r="D347" s="199"/>
      <c r="E347" s="199"/>
      <c r="F347" s="199"/>
      <c r="G347" s="199"/>
      <c r="H347" s="203"/>
      <c r="I347" s="199"/>
      <c r="J347" s="199"/>
      <c r="K347" s="199"/>
      <c r="L347" s="199"/>
      <c r="M347" s="199"/>
      <c r="N347" s="199"/>
      <c r="O347" s="199"/>
      <c r="P347" s="199"/>
      <c r="Q347" s="199"/>
    </row>
    <row r="348" spans="1:17" x14ac:dyDescent="0.25">
      <c r="A348" s="199"/>
      <c r="B348" s="199"/>
      <c r="C348" s="199"/>
      <c r="D348" s="199"/>
      <c r="E348" s="199"/>
      <c r="F348" s="199"/>
      <c r="G348" s="199"/>
      <c r="H348" s="203"/>
      <c r="I348" s="199"/>
      <c r="J348" s="199"/>
      <c r="K348" s="199"/>
      <c r="L348" s="199"/>
      <c r="M348" s="199"/>
      <c r="N348" s="199"/>
      <c r="O348" s="199"/>
      <c r="P348" s="199"/>
      <c r="Q348" s="199"/>
    </row>
    <row r="349" spans="1:17" x14ac:dyDescent="0.25">
      <c r="A349" s="199"/>
      <c r="B349" s="199"/>
      <c r="C349" s="199"/>
      <c r="D349" s="199"/>
      <c r="E349" s="199"/>
      <c r="F349" s="199"/>
      <c r="G349" s="199"/>
      <c r="H349" s="203"/>
      <c r="I349" s="199"/>
      <c r="J349" s="199"/>
      <c r="K349" s="199"/>
      <c r="L349" s="199"/>
      <c r="M349" s="199"/>
      <c r="N349" s="199"/>
      <c r="O349" s="199"/>
      <c r="P349" s="199"/>
      <c r="Q349" s="199"/>
    </row>
    <row r="350" spans="1:17" x14ac:dyDescent="0.25">
      <c r="A350" s="199"/>
      <c r="B350" s="199"/>
      <c r="C350" s="199"/>
      <c r="D350" s="199"/>
      <c r="E350" s="199"/>
      <c r="F350" s="199"/>
      <c r="G350" s="199"/>
      <c r="H350" s="203"/>
      <c r="I350" s="199"/>
      <c r="J350" s="199"/>
      <c r="K350" s="199"/>
      <c r="L350" s="199"/>
      <c r="M350" s="199"/>
      <c r="N350" s="199"/>
      <c r="O350" s="199"/>
      <c r="P350" s="199"/>
      <c r="Q350" s="199"/>
    </row>
    <row r="351" spans="1:17" x14ac:dyDescent="0.25">
      <c r="A351" s="199"/>
      <c r="B351" s="199"/>
      <c r="C351" s="199"/>
      <c r="D351" s="199"/>
      <c r="E351" s="199"/>
      <c r="F351" s="199"/>
      <c r="G351" s="199"/>
      <c r="H351" s="203"/>
      <c r="I351" s="199"/>
      <c r="J351" s="199"/>
      <c r="K351" s="199"/>
      <c r="L351" s="199"/>
      <c r="M351" s="199"/>
      <c r="N351" s="199"/>
      <c r="O351" s="199"/>
      <c r="P351" s="199"/>
      <c r="Q351" s="199"/>
    </row>
    <row r="352" spans="1:17" x14ac:dyDescent="0.25">
      <c r="A352" s="199"/>
      <c r="B352" s="199"/>
      <c r="C352" s="199"/>
      <c r="D352" s="199"/>
      <c r="E352" s="199"/>
      <c r="F352" s="199"/>
      <c r="G352" s="199"/>
      <c r="H352" s="203"/>
      <c r="I352" s="199"/>
      <c r="J352" s="199"/>
      <c r="K352" s="199"/>
      <c r="L352" s="199"/>
      <c r="M352" s="199"/>
      <c r="N352" s="199"/>
      <c r="O352" s="199"/>
      <c r="P352" s="199"/>
      <c r="Q352" s="199"/>
    </row>
    <row r="353" spans="1:17" x14ac:dyDescent="0.25">
      <c r="A353" s="199"/>
      <c r="B353" s="199"/>
      <c r="C353" s="199"/>
      <c r="D353" s="199"/>
      <c r="E353" s="199"/>
      <c r="F353" s="199"/>
      <c r="G353" s="199"/>
      <c r="H353" s="203"/>
      <c r="I353" s="199"/>
      <c r="J353" s="199"/>
      <c r="K353" s="199"/>
      <c r="L353" s="199"/>
      <c r="M353" s="199"/>
      <c r="N353" s="199"/>
      <c r="O353" s="199"/>
      <c r="P353" s="199"/>
      <c r="Q353" s="199"/>
    </row>
    <row r="354" spans="1:17" x14ac:dyDescent="0.25">
      <c r="A354" s="199"/>
      <c r="B354" s="199"/>
      <c r="C354" s="199"/>
      <c r="D354" s="199"/>
      <c r="E354" s="199"/>
      <c r="F354" s="199"/>
      <c r="G354" s="199"/>
      <c r="H354" s="203"/>
      <c r="I354" s="199"/>
      <c r="J354" s="199"/>
      <c r="K354" s="199"/>
      <c r="L354" s="199"/>
      <c r="M354" s="199"/>
      <c r="N354" s="199"/>
      <c r="O354" s="199"/>
      <c r="P354" s="199"/>
      <c r="Q354" s="199"/>
    </row>
    <row r="355" spans="1:17" x14ac:dyDescent="0.25">
      <c r="A355" s="199"/>
      <c r="B355" s="199"/>
      <c r="C355" s="199"/>
      <c r="D355" s="199"/>
      <c r="E355" s="199"/>
      <c r="F355" s="199"/>
      <c r="G355" s="199"/>
      <c r="H355" s="203"/>
      <c r="I355" s="199"/>
      <c r="J355" s="199"/>
      <c r="K355" s="199"/>
      <c r="L355" s="199"/>
      <c r="M355" s="199"/>
      <c r="N355" s="199"/>
      <c r="O355" s="199"/>
      <c r="P355" s="199"/>
      <c r="Q355" s="199"/>
    </row>
    <row r="356" spans="1:17" x14ac:dyDescent="0.25">
      <c r="A356" s="199"/>
      <c r="B356" s="199"/>
      <c r="C356" s="199"/>
      <c r="D356" s="199"/>
      <c r="E356" s="199"/>
      <c r="F356" s="199"/>
      <c r="G356" s="199"/>
      <c r="H356" s="203"/>
      <c r="I356" s="199"/>
      <c r="J356" s="199"/>
      <c r="K356" s="199"/>
      <c r="L356" s="199"/>
      <c r="M356" s="199"/>
      <c r="N356" s="199"/>
      <c r="O356" s="199"/>
      <c r="P356" s="199"/>
      <c r="Q356" s="199"/>
    </row>
    <row r="357" spans="1:17" x14ac:dyDescent="0.25">
      <c r="A357" s="199"/>
      <c r="B357" s="199"/>
      <c r="C357" s="199"/>
      <c r="D357" s="199"/>
      <c r="E357" s="199"/>
      <c r="F357" s="199"/>
      <c r="G357" s="199"/>
      <c r="H357" s="203"/>
      <c r="I357" s="199"/>
      <c r="J357" s="199"/>
      <c r="K357" s="199"/>
      <c r="L357" s="199"/>
      <c r="M357" s="199"/>
      <c r="N357" s="199"/>
      <c r="O357" s="199"/>
      <c r="P357" s="199"/>
      <c r="Q357" s="199"/>
    </row>
    <row r="358" spans="1:17" x14ac:dyDescent="0.25">
      <c r="A358" s="199"/>
      <c r="B358" s="199"/>
      <c r="C358" s="199"/>
      <c r="D358" s="199"/>
      <c r="E358" s="199"/>
      <c r="F358" s="199"/>
      <c r="G358" s="199"/>
      <c r="H358" s="203"/>
      <c r="I358" s="199"/>
      <c r="J358" s="199"/>
      <c r="K358" s="199"/>
      <c r="L358" s="199"/>
      <c r="M358" s="199"/>
      <c r="N358" s="199"/>
      <c r="O358" s="199"/>
      <c r="P358" s="199"/>
      <c r="Q358" s="199"/>
    </row>
    <row r="359" spans="1:17" x14ac:dyDescent="0.25">
      <c r="A359" s="199"/>
      <c r="B359" s="199"/>
      <c r="C359" s="199"/>
      <c r="D359" s="199"/>
      <c r="E359" s="199"/>
      <c r="F359" s="199"/>
      <c r="G359" s="199"/>
      <c r="H359" s="203"/>
      <c r="I359" s="199"/>
      <c r="J359" s="199"/>
      <c r="K359" s="199"/>
      <c r="L359" s="199"/>
      <c r="M359" s="199"/>
      <c r="N359" s="199"/>
      <c r="O359" s="199"/>
      <c r="P359" s="199"/>
      <c r="Q359" s="199"/>
    </row>
    <row r="360" spans="1:17" x14ac:dyDescent="0.25">
      <c r="A360" s="199"/>
      <c r="B360" s="199"/>
      <c r="C360" s="199"/>
      <c r="D360" s="199"/>
      <c r="E360" s="199"/>
      <c r="F360" s="199"/>
      <c r="G360" s="199"/>
      <c r="H360" s="203"/>
      <c r="I360" s="199"/>
      <c r="J360" s="199"/>
      <c r="K360" s="199"/>
      <c r="L360" s="199"/>
      <c r="M360" s="199"/>
      <c r="N360" s="199"/>
      <c r="O360" s="199"/>
      <c r="P360" s="199"/>
      <c r="Q360" s="199"/>
    </row>
    <row r="361" spans="1:17" x14ac:dyDescent="0.25">
      <c r="A361" s="199"/>
      <c r="B361" s="199"/>
      <c r="C361" s="199"/>
      <c r="D361" s="199"/>
      <c r="E361" s="199"/>
      <c r="F361" s="199"/>
      <c r="G361" s="199"/>
      <c r="H361" s="203"/>
      <c r="I361" s="199"/>
      <c r="J361" s="199"/>
      <c r="K361" s="199"/>
      <c r="L361" s="199"/>
      <c r="M361" s="199"/>
      <c r="N361" s="199"/>
      <c r="O361" s="199"/>
      <c r="P361" s="199"/>
      <c r="Q361" s="199"/>
    </row>
    <row r="362" spans="1:17" x14ac:dyDescent="0.25">
      <c r="A362" s="199"/>
      <c r="B362" s="199"/>
      <c r="C362" s="199"/>
      <c r="D362" s="199"/>
      <c r="E362" s="199"/>
      <c r="F362" s="199"/>
      <c r="G362" s="199"/>
      <c r="H362" s="203"/>
      <c r="I362" s="199"/>
      <c r="J362" s="199"/>
      <c r="K362" s="199"/>
      <c r="L362" s="199"/>
      <c r="M362" s="199"/>
      <c r="N362" s="199"/>
      <c r="O362" s="199"/>
      <c r="P362" s="199"/>
      <c r="Q362" s="199"/>
    </row>
    <row r="363" spans="1:17" x14ac:dyDescent="0.25">
      <c r="A363" s="199"/>
      <c r="B363" s="199"/>
      <c r="C363" s="199"/>
      <c r="D363" s="199"/>
      <c r="E363" s="199"/>
      <c r="F363" s="199"/>
      <c r="G363" s="199"/>
      <c r="H363" s="203"/>
      <c r="I363" s="199"/>
      <c r="J363" s="199"/>
      <c r="K363" s="199"/>
      <c r="L363" s="199"/>
      <c r="M363" s="199"/>
      <c r="N363" s="199"/>
      <c r="O363" s="199"/>
      <c r="P363" s="199"/>
      <c r="Q363" s="199"/>
    </row>
    <row r="364" spans="1:17" x14ac:dyDescent="0.25">
      <c r="A364" s="199"/>
      <c r="B364" s="199"/>
      <c r="C364" s="199"/>
      <c r="D364" s="199"/>
      <c r="E364" s="199"/>
      <c r="F364" s="199"/>
      <c r="G364" s="199"/>
      <c r="H364" s="203"/>
      <c r="I364" s="199"/>
      <c r="J364" s="199"/>
      <c r="K364" s="199"/>
      <c r="L364" s="199"/>
      <c r="M364" s="199"/>
      <c r="N364" s="199"/>
      <c r="O364" s="199"/>
      <c r="P364" s="199"/>
      <c r="Q364" s="199"/>
    </row>
    <row r="365" spans="1:17" x14ac:dyDescent="0.25">
      <c r="A365" s="199"/>
      <c r="B365" s="199"/>
      <c r="C365" s="199"/>
      <c r="D365" s="199"/>
      <c r="E365" s="199"/>
      <c r="F365" s="199"/>
      <c r="G365" s="199"/>
      <c r="H365" s="203"/>
      <c r="I365" s="199"/>
      <c r="J365" s="199"/>
      <c r="K365" s="199"/>
      <c r="L365" s="199"/>
      <c r="M365" s="199"/>
      <c r="N365" s="199"/>
      <c r="O365" s="199"/>
      <c r="P365" s="199"/>
      <c r="Q365" s="199"/>
    </row>
    <row r="366" spans="1:17" x14ac:dyDescent="0.25">
      <c r="A366" s="199"/>
      <c r="B366" s="199"/>
      <c r="C366" s="199"/>
      <c r="D366" s="199"/>
      <c r="E366" s="199"/>
      <c r="F366" s="199"/>
      <c r="G366" s="199"/>
      <c r="H366" s="203"/>
      <c r="I366" s="199"/>
      <c r="J366" s="199"/>
      <c r="K366" s="199"/>
      <c r="L366" s="199"/>
      <c r="M366" s="199"/>
      <c r="N366" s="199"/>
      <c r="O366" s="199"/>
      <c r="P366" s="199"/>
      <c r="Q366" s="199"/>
    </row>
    <row r="367" spans="1:17" x14ac:dyDescent="0.25">
      <c r="A367" s="199"/>
      <c r="B367" s="199"/>
      <c r="C367" s="199"/>
      <c r="D367" s="199"/>
      <c r="E367" s="199"/>
      <c r="F367" s="199"/>
      <c r="G367" s="199"/>
      <c r="H367" s="203"/>
      <c r="I367" s="199"/>
      <c r="J367" s="199"/>
      <c r="K367" s="199"/>
      <c r="L367" s="199"/>
      <c r="M367" s="199"/>
      <c r="N367" s="199"/>
      <c r="O367" s="199"/>
      <c r="P367" s="199"/>
      <c r="Q367" s="199"/>
    </row>
    <row r="368" spans="1:17" x14ac:dyDescent="0.25">
      <c r="A368" s="199"/>
      <c r="B368" s="199"/>
      <c r="C368" s="199"/>
      <c r="D368" s="199"/>
      <c r="E368" s="199"/>
      <c r="F368" s="199"/>
      <c r="G368" s="199"/>
      <c r="H368" s="203"/>
      <c r="I368" s="199"/>
      <c r="J368" s="199"/>
      <c r="K368" s="199"/>
      <c r="L368" s="199"/>
      <c r="M368" s="199"/>
      <c r="N368" s="199"/>
      <c r="O368" s="199"/>
      <c r="P368" s="199"/>
      <c r="Q368" s="199"/>
    </row>
    <row r="369" spans="1:17" x14ac:dyDescent="0.25">
      <c r="A369" s="199"/>
      <c r="B369" s="199"/>
      <c r="C369" s="199"/>
      <c r="D369" s="199"/>
      <c r="E369" s="199"/>
      <c r="F369" s="199"/>
      <c r="G369" s="199"/>
      <c r="H369" s="203"/>
      <c r="I369" s="199"/>
      <c r="J369" s="199"/>
      <c r="K369" s="199"/>
      <c r="L369" s="199"/>
      <c r="M369" s="199"/>
      <c r="N369" s="199"/>
      <c r="O369" s="199"/>
      <c r="P369" s="199"/>
      <c r="Q369" s="199"/>
    </row>
    <row r="370" spans="1:17" x14ac:dyDescent="0.25">
      <c r="A370" s="199"/>
      <c r="B370" s="199"/>
      <c r="C370" s="199"/>
      <c r="D370" s="199"/>
      <c r="E370" s="199"/>
      <c r="F370" s="199"/>
      <c r="G370" s="199"/>
      <c r="H370" s="203"/>
      <c r="I370" s="199"/>
      <c r="J370" s="199"/>
      <c r="K370" s="199"/>
      <c r="L370" s="199"/>
      <c r="M370" s="199"/>
      <c r="N370" s="199"/>
      <c r="O370" s="199"/>
      <c r="P370" s="199"/>
      <c r="Q370" s="199"/>
    </row>
    <row r="371" spans="1:17" x14ac:dyDescent="0.25">
      <c r="A371" s="199"/>
      <c r="B371" s="199"/>
      <c r="C371" s="199"/>
      <c r="D371" s="199"/>
      <c r="E371" s="199"/>
      <c r="F371" s="199"/>
      <c r="G371" s="199"/>
      <c r="H371" s="203"/>
      <c r="I371" s="199"/>
      <c r="J371" s="199"/>
      <c r="K371" s="199"/>
      <c r="L371" s="199"/>
      <c r="M371" s="199"/>
      <c r="N371" s="199"/>
      <c r="O371" s="199"/>
      <c r="P371" s="199"/>
      <c r="Q371" s="199"/>
    </row>
    <row r="372" spans="1:17" x14ac:dyDescent="0.25">
      <c r="A372" s="199"/>
      <c r="B372" s="199"/>
      <c r="C372" s="199"/>
      <c r="D372" s="199"/>
      <c r="E372" s="199"/>
      <c r="F372" s="199"/>
      <c r="G372" s="199"/>
      <c r="H372" s="203"/>
      <c r="I372" s="199"/>
      <c r="J372" s="199"/>
      <c r="K372" s="199"/>
      <c r="L372" s="199"/>
      <c r="M372" s="199"/>
      <c r="N372" s="199"/>
      <c r="O372" s="199"/>
      <c r="P372" s="199"/>
      <c r="Q372" s="199"/>
    </row>
    <row r="373" spans="1:17" x14ac:dyDescent="0.25">
      <c r="A373" s="199"/>
      <c r="B373" s="199"/>
      <c r="C373" s="199"/>
      <c r="D373" s="199"/>
      <c r="E373" s="199"/>
      <c r="F373" s="199"/>
      <c r="G373" s="199"/>
      <c r="H373" s="203"/>
      <c r="I373" s="199"/>
      <c r="J373" s="199"/>
      <c r="K373" s="199"/>
      <c r="L373" s="199"/>
      <c r="M373" s="199"/>
      <c r="N373" s="199"/>
      <c r="O373" s="199"/>
      <c r="P373" s="199"/>
      <c r="Q373" s="199"/>
    </row>
    <row r="374" spans="1:17" x14ac:dyDescent="0.25">
      <c r="A374" s="199"/>
      <c r="B374" s="199"/>
      <c r="C374" s="199"/>
      <c r="D374" s="199"/>
      <c r="E374" s="199"/>
      <c r="F374" s="199"/>
      <c r="G374" s="199"/>
      <c r="H374" s="203"/>
      <c r="I374" s="199"/>
      <c r="J374" s="199"/>
      <c r="K374" s="199"/>
      <c r="L374" s="199"/>
      <c r="M374" s="199"/>
      <c r="N374" s="199"/>
      <c r="O374" s="199"/>
      <c r="P374" s="199"/>
      <c r="Q374" s="199"/>
    </row>
    <row r="375" spans="1:17" x14ac:dyDescent="0.25">
      <c r="A375" s="199"/>
      <c r="B375" s="199"/>
      <c r="C375" s="199"/>
      <c r="D375" s="199"/>
      <c r="E375" s="199"/>
      <c r="F375" s="199"/>
      <c r="G375" s="199"/>
      <c r="H375" s="203"/>
      <c r="I375" s="199"/>
      <c r="J375" s="199"/>
      <c r="K375" s="199"/>
      <c r="L375" s="199"/>
      <c r="M375" s="199"/>
      <c r="N375" s="199"/>
      <c r="O375" s="199"/>
      <c r="P375" s="199"/>
      <c r="Q375" s="199"/>
    </row>
    <row r="376" spans="1:17" x14ac:dyDescent="0.25">
      <c r="A376" s="199"/>
      <c r="B376" s="199"/>
      <c r="C376" s="199"/>
      <c r="D376" s="199"/>
      <c r="E376" s="199"/>
      <c r="F376" s="199"/>
      <c r="G376" s="199"/>
      <c r="H376" s="203"/>
      <c r="I376" s="199"/>
      <c r="J376" s="199"/>
      <c r="K376" s="199"/>
      <c r="L376" s="199"/>
      <c r="M376" s="199"/>
      <c r="N376" s="199"/>
      <c r="O376" s="199"/>
      <c r="P376" s="199"/>
      <c r="Q376" s="199"/>
    </row>
    <row r="377" spans="1:17" x14ac:dyDescent="0.25">
      <c r="A377" s="199"/>
      <c r="B377" s="199"/>
      <c r="C377" s="199"/>
      <c r="D377" s="199"/>
      <c r="E377" s="199"/>
      <c r="F377" s="199"/>
      <c r="G377" s="199"/>
      <c r="H377" s="203"/>
      <c r="I377" s="199"/>
      <c r="J377" s="199"/>
      <c r="K377" s="199"/>
      <c r="L377" s="199"/>
      <c r="M377" s="199"/>
      <c r="N377" s="199"/>
      <c r="O377" s="199"/>
      <c r="P377" s="199"/>
      <c r="Q377" s="199"/>
    </row>
    <row r="378" spans="1:17" x14ac:dyDescent="0.25">
      <c r="A378" s="199"/>
      <c r="B378" s="199"/>
      <c r="C378" s="199"/>
      <c r="D378" s="199"/>
      <c r="E378" s="199"/>
      <c r="F378" s="199"/>
      <c r="G378" s="199"/>
      <c r="H378" s="203"/>
      <c r="I378" s="199"/>
      <c r="J378" s="199"/>
      <c r="K378" s="199"/>
      <c r="L378" s="199"/>
      <c r="M378" s="199"/>
      <c r="N378" s="199"/>
      <c r="O378" s="199"/>
      <c r="P378" s="199"/>
      <c r="Q378" s="199"/>
    </row>
    <row r="379" spans="1:17" x14ac:dyDescent="0.25">
      <c r="A379" s="199"/>
      <c r="B379" s="199"/>
      <c r="C379" s="199"/>
      <c r="D379" s="199"/>
      <c r="E379" s="199"/>
      <c r="F379" s="199"/>
      <c r="G379" s="199"/>
      <c r="H379" s="203"/>
      <c r="I379" s="199"/>
      <c r="J379" s="199"/>
      <c r="K379" s="199"/>
      <c r="L379" s="199"/>
      <c r="M379" s="199"/>
      <c r="N379" s="199"/>
      <c r="O379" s="199"/>
      <c r="P379" s="199"/>
      <c r="Q379" s="199"/>
    </row>
    <row r="380" spans="1:17" x14ac:dyDescent="0.25">
      <c r="A380" s="199"/>
      <c r="B380" s="199"/>
      <c r="C380" s="199"/>
      <c r="D380" s="199"/>
      <c r="E380" s="199"/>
      <c r="F380" s="199"/>
      <c r="G380" s="199"/>
      <c r="H380" s="203"/>
      <c r="I380" s="199"/>
      <c r="J380" s="199"/>
      <c r="K380" s="199"/>
      <c r="L380" s="199"/>
      <c r="M380" s="199"/>
      <c r="N380" s="199"/>
      <c r="O380" s="199"/>
      <c r="P380" s="199"/>
      <c r="Q380" s="199"/>
    </row>
    <row r="381" spans="1:17" x14ac:dyDescent="0.25">
      <c r="A381" s="199"/>
      <c r="B381" s="199"/>
      <c r="C381" s="199"/>
      <c r="D381" s="199"/>
      <c r="E381" s="199"/>
      <c r="F381" s="199"/>
      <c r="G381" s="199"/>
      <c r="H381" s="203"/>
      <c r="I381" s="199"/>
      <c r="J381" s="199"/>
      <c r="K381" s="199"/>
      <c r="L381" s="199"/>
      <c r="M381" s="199"/>
      <c r="N381" s="199"/>
      <c r="O381" s="199"/>
      <c r="P381" s="199"/>
      <c r="Q381" s="199"/>
    </row>
    <row r="382" spans="1:17" x14ac:dyDescent="0.25">
      <c r="A382" s="199"/>
      <c r="B382" s="199"/>
      <c r="C382" s="199"/>
      <c r="D382" s="199"/>
      <c r="E382" s="199"/>
      <c r="F382" s="199"/>
      <c r="G382" s="199"/>
      <c r="H382" s="203"/>
      <c r="I382" s="199"/>
      <c r="J382" s="199"/>
      <c r="K382" s="199"/>
      <c r="L382" s="199"/>
      <c r="M382" s="199"/>
      <c r="N382" s="199"/>
      <c r="O382" s="199"/>
      <c r="P382" s="199"/>
      <c r="Q382" s="199"/>
    </row>
    <row r="383" spans="1:17" x14ac:dyDescent="0.25">
      <c r="A383" s="199"/>
      <c r="B383" s="199"/>
      <c r="C383" s="199"/>
      <c r="D383" s="199"/>
      <c r="E383" s="199"/>
      <c r="F383" s="199"/>
      <c r="G383" s="199"/>
      <c r="H383" s="203"/>
      <c r="I383" s="199"/>
      <c r="J383" s="199"/>
      <c r="K383" s="199"/>
      <c r="L383" s="199"/>
      <c r="M383" s="199"/>
      <c r="N383" s="199"/>
      <c r="O383" s="199"/>
      <c r="P383" s="199"/>
      <c r="Q383" s="199"/>
    </row>
    <row r="384" spans="1:17" x14ac:dyDescent="0.25">
      <c r="A384" s="199"/>
      <c r="B384" s="199"/>
      <c r="C384" s="199"/>
      <c r="D384" s="199"/>
      <c r="E384" s="199"/>
      <c r="F384" s="199"/>
      <c r="G384" s="199"/>
      <c r="H384" s="203"/>
      <c r="I384" s="199"/>
      <c r="J384" s="199"/>
      <c r="K384" s="199"/>
      <c r="L384" s="199"/>
      <c r="M384" s="199"/>
      <c r="N384" s="199"/>
      <c r="O384" s="199"/>
      <c r="P384" s="199"/>
      <c r="Q384" s="199"/>
    </row>
    <row r="385" spans="1:17" x14ac:dyDescent="0.25">
      <c r="A385" s="199"/>
      <c r="B385" s="199"/>
      <c r="C385" s="199"/>
      <c r="D385" s="199"/>
      <c r="E385" s="199"/>
      <c r="F385" s="199"/>
      <c r="G385" s="199"/>
      <c r="H385" s="203"/>
      <c r="I385" s="199"/>
      <c r="J385" s="199"/>
      <c r="K385" s="199"/>
      <c r="L385" s="199"/>
      <c r="M385" s="199"/>
      <c r="N385" s="199"/>
      <c r="O385" s="199"/>
      <c r="P385" s="199"/>
      <c r="Q385" s="199"/>
    </row>
    <row r="386" spans="1:17" x14ac:dyDescent="0.25">
      <c r="A386" s="199"/>
      <c r="B386" s="199"/>
      <c r="C386" s="199"/>
      <c r="D386" s="199"/>
      <c r="E386" s="199"/>
      <c r="F386" s="199"/>
      <c r="G386" s="199"/>
      <c r="H386" s="203"/>
      <c r="I386" s="199"/>
      <c r="J386" s="199"/>
      <c r="K386" s="199"/>
      <c r="L386" s="199"/>
      <c r="M386" s="199"/>
      <c r="N386" s="199"/>
      <c r="O386" s="199"/>
      <c r="P386" s="199"/>
      <c r="Q386" s="199"/>
    </row>
    <row r="387" spans="1:17" x14ac:dyDescent="0.25">
      <c r="A387" s="199"/>
      <c r="B387" s="199"/>
      <c r="C387" s="199"/>
      <c r="D387" s="199"/>
      <c r="E387" s="199"/>
      <c r="F387" s="199"/>
      <c r="G387" s="199"/>
      <c r="H387" s="203"/>
      <c r="I387" s="199"/>
      <c r="J387" s="199"/>
      <c r="K387" s="199"/>
      <c r="L387" s="199"/>
      <c r="M387" s="199"/>
      <c r="N387" s="199"/>
      <c r="O387" s="199"/>
      <c r="P387" s="199"/>
      <c r="Q387" s="199"/>
    </row>
    <row r="388" spans="1:17" x14ac:dyDescent="0.25">
      <c r="A388" s="199"/>
      <c r="B388" s="199"/>
      <c r="C388" s="199"/>
      <c r="D388" s="199"/>
      <c r="E388" s="199"/>
      <c r="F388" s="199"/>
      <c r="G388" s="199"/>
      <c r="H388" s="203"/>
      <c r="I388" s="199"/>
      <c r="J388" s="199"/>
      <c r="K388" s="199"/>
      <c r="L388" s="199"/>
      <c r="M388" s="199"/>
      <c r="N388" s="199"/>
      <c r="O388" s="199"/>
      <c r="P388" s="199"/>
      <c r="Q388" s="199"/>
    </row>
    <row r="389" spans="1:17" x14ac:dyDescent="0.25">
      <c r="A389" s="199"/>
      <c r="B389" s="199"/>
      <c r="C389" s="199"/>
      <c r="D389" s="199"/>
      <c r="E389" s="199"/>
      <c r="F389" s="199"/>
      <c r="G389" s="199"/>
      <c r="H389" s="203"/>
      <c r="I389" s="199"/>
      <c r="J389" s="199"/>
      <c r="K389" s="199"/>
      <c r="L389" s="199"/>
      <c r="M389" s="199"/>
      <c r="N389" s="199"/>
      <c r="O389" s="199"/>
      <c r="P389" s="199"/>
      <c r="Q389" s="199"/>
    </row>
    <row r="390" spans="1:17" x14ac:dyDescent="0.25">
      <c r="A390" s="199"/>
      <c r="B390" s="199"/>
      <c r="C390" s="199"/>
      <c r="D390" s="199"/>
      <c r="E390" s="199"/>
      <c r="F390" s="199"/>
      <c r="G390" s="199"/>
      <c r="H390" s="203"/>
      <c r="I390" s="199"/>
      <c r="J390" s="199"/>
      <c r="K390" s="199"/>
      <c r="L390" s="199"/>
      <c r="M390" s="199"/>
      <c r="N390" s="199"/>
      <c r="O390" s="199"/>
      <c r="P390" s="199"/>
      <c r="Q390" s="199"/>
    </row>
    <row r="391" spans="1:17" x14ac:dyDescent="0.25">
      <c r="A391" s="199"/>
      <c r="B391" s="199"/>
      <c r="C391" s="199"/>
      <c r="D391" s="199"/>
      <c r="E391" s="199"/>
      <c r="F391" s="199"/>
      <c r="G391" s="199"/>
      <c r="H391" s="203"/>
      <c r="I391" s="199"/>
      <c r="J391" s="199"/>
      <c r="K391" s="199"/>
      <c r="L391" s="199"/>
      <c r="M391" s="199"/>
      <c r="N391" s="199"/>
      <c r="O391" s="199"/>
      <c r="P391" s="199"/>
      <c r="Q391" s="199"/>
    </row>
    <row r="392" spans="1:17" x14ac:dyDescent="0.25">
      <c r="A392" s="199"/>
      <c r="B392" s="199"/>
      <c r="C392" s="199"/>
      <c r="D392" s="199"/>
      <c r="E392" s="199"/>
      <c r="F392" s="199"/>
      <c r="G392" s="199"/>
      <c r="H392" s="203"/>
      <c r="I392" s="199"/>
      <c r="J392" s="199"/>
      <c r="K392" s="199"/>
      <c r="L392" s="199"/>
      <c r="M392" s="199"/>
      <c r="N392" s="199"/>
      <c r="O392" s="199"/>
      <c r="P392" s="199"/>
      <c r="Q392" s="199"/>
    </row>
    <row r="393" spans="1:17" x14ac:dyDescent="0.25">
      <c r="A393" s="199"/>
      <c r="B393" s="199"/>
      <c r="C393" s="199"/>
      <c r="D393" s="199"/>
      <c r="E393" s="199"/>
      <c r="F393" s="199"/>
      <c r="G393" s="199"/>
      <c r="H393" s="203"/>
      <c r="I393" s="199"/>
      <c r="J393" s="199"/>
      <c r="K393" s="199"/>
      <c r="L393" s="199"/>
      <c r="M393" s="199"/>
      <c r="N393" s="199"/>
      <c r="O393" s="199"/>
      <c r="P393" s="199"/>
      <c r="Q393" s="199"/>
    </row>
    <row r="394" spans="1:17" x14ac:dyDescent="0.25">
      <c r="A394" s="199"/>
      <c r="B394" s="199"/>
      <c r="C394" s="199"/>
      <c r="D394" s="199"/>
      <c r="E394" s="199"/>
      <c r="F394" s="199"/>
      <c r="G394" s="199"/>
      <c r="H394" s="203"/>
      <c r="I394" s="199"/>
      <c r="J394" s="199"/>
      <c r="K394" s="199"/>
      <c r="L394" s="199"/>
      <c r="M394" s="199"/>
      <c r="N394" s="199"/>
      <c r="O394" s="199"/>
      <c r="P394" s="199"/>
      <c r="Q394" s="199"/>
    </row>
    <row r="395" spans="1:17" x14ac:dyDescent="0.25">
      <c r="A395" s="199"/>
      <c r="B395" s="199"/>
      <c r="C395" s="199"/>
      <c r="D395" s="199"/>
      <c r="E395" s="199"/>
      <c r="F395" s="199"/>
      <c r="G395" s="199"/>
      <c r="H395" s="203"/>
      <c r="I395" s="199"/>
      <c r="J395" s="199"/>
      <c r="K395" s="199"/>
      <c r="L395" s="199"/>
      <c r="M395" s="199"/>
      <c r="N395" s="199"/>
      <c r="O395" s="199"/>
      <c r="P395" s="199"/>
      <c r="Q395" s="199"/>
    </row>
    <row r="396" spans="1:17" x14ac:dyDescent="0.25">
      <c r="A396" s="199"/>
      <c r="B396" s="199"/>
      <c r="C396" s="199"/>
      <c r="D396" s="199"/>
      <c r="E396" s="199"/>
      <c r="F396" s="199"/>
      <c r="G396" s="199"/>
      <c r="H396" s="203"/>
      <c r="I396" s="199"/>
      <c r="J396" s="199"/>
      <c r="K396" s="199"/>
      <c r="L396" s="199"/>
      <c r="M396" s="199"/>
      <c r="N396" s="199"/>
      <c r="O396" s="199"/>
      <c r="P396" s="199"/>
      <c r="Q396" s="199"/>
    </row>
    <row r="397" spans="1:17" x14ac:dyDescent="0.25">
      <c r="A397" s="199"/>
      <c r="B397" s="199"/>
      <c r="C397" s="199"/>
      <c r="D397" s="199"/>
      <c r="E397" s="199"/>
      <c r="F397" s="199"/>
      <c r="G397" s="199"/>
      <c r="H397" s="203"/>
      <c r="I397" s="199"/>
      <c r="J397" s="199"/>
      <c r="K397" s="199"/>
      <c r="L397" s="199"/>
      <c r="M397" s="199"/>
      <c r="N397" s="199"/>
      <c r="O397" s="199"/>
      <c r="P397" s="199"/>
      <c r="Q397" s="199"/>
    </row>
    <row r="398" spans="1:17" x14ac:dyDescent="0.25">
      <c r="A398" s="199"/>
      <c r="B398" s="199"/>
      <c r="C398" s="199"/>
      <c r="D398" s="199"/>
      <c r="E398" s="199"/>
      <c r="F398" s="199"/>
      <c r="G398" s="199"/>
      <c r="H398" s="203"/>
      <c r="I398" s="199"/>
      <c r="J398" s="199"/>
      <c r="K398" s="199"/>
      <c r="L398" s="199"/>
      <c r="M398" s="199"/>
      <c r="N398" s="199"/>
      <c r="O398" s="199"/>
      <c r="P398" s="199"/>
      <c r="Q398" s="199"/>
    </row>
    <row r="399" spans="1:17" x14ac:dyDescent="0.25">
      <c r="A399" s="199"/>
      <c r="B399" s="199"/>
      <c r="C399" s="199"/>
      <c r="D399" s="199"/>
      <c r="E399" s="199"/>
      <c r="F399" s="199"/>
      <c r="G399" s="199"/>
      <c r="H399" s="203"/>
      <c r="I399" s="199"/>
      <c r="J399" s="199"/>
      <c r="K399" s="199"/>
      <c r="L399" s="199"/>
      <c r="M399" s="199"/>
      <c r="N399" s="199"/>
      <c r="O399" s="199"/>
      <c r="P399" s="199"/>
      <c r="Q399" s="199"/>
    </row>
    <row r="400" spans="1:17" x14ac:dyDescent="0.25">
      <c r="A400" s="199"/>
      <c r="B400" s="199"/>
      <c r="C400" s="199"/>
      <c r="D400" s="199"/>
      <c r="E400" s="199"/>
      <c r="F400" s="199"/>
      <c r="G400" s="199"/>
      <c r="H400" s="203"/>
      <c r="I400" s="199"/>
      <c r="J400" s="199"/>
      <c r="K400" s="199"/>
      <c r="L400" s="199"/>
      <c r="M400" s="199"/>
      <c r="N400" s="199"/>
      <c r="O400" s="199"/>
      <c r="P400" s="199"/>
      <c r="Q400" s="199"/>
    </row>
    <row r="401" spans="1:17" x14ac:dyDescent="0.25">
      <c r="A401" s="199"/>
      <c r="B401" s="199"/>
      <c r="C401" s="199"/>
      <c r="D401" s="199"/>
      <c r="E401" s="199"/>
      <c r="F401" s="199"/>
      <c r="G401" s="199"/>
      <c r="H401" s="203"/>
      <c r="I401" s="199"/>
      <c r="J401" s="199"/>
      <c r="K401" s="199"/>
      <c r="L401" s="199"/>
      <c r="M401" s="199"/>
      <c r="N401" s="199"/>
      <c r="O401" s="199"/>
      <c r="P401" s="199"/>
      <c r="Q401" s="199"/>
    </row>
    <row r="402" spans="1:17" x14ac:dyDescent="0.25">
      <c r="A402" s="199"/>
      <c r="B402" s="199"/>
      <c r="C402" s="199"/>
      <c r="D402" s="199"/>
      <c r="E402" s="199"/>
      <c r="F402" s="199"/>
      <c r="G402" s="199"/>
      <c r="H402" s="203"/>
      <c r="I402" s="199"/>
      <c r="J402" s="199"/>
      <c r="K402" s="199"/>
      <c r="L402" s="199"/>
      <c r="M402" s="199"/>
      <c r="N402" s="199"/>
      <c r="O402" s="199"/>
      <c r="P402" s="199"/>
      <c r="Q402" s="199"/>
    </row>
    <row r="403" spans="1:17" x14ac:dyDescent="0.25">
      <c r="A403" s="199"/>
      <c r="B403" s="199"/>
      <c r="C403" s="199"/>
      <c r="D403" s="199"/>
      <c r="E403" s="199"/>
      <c r="F403" s="199"/>
      <c r="G403" s="199"/>
      <c r="H403" s="203"/>
      <c r="I403" s="199"/>
      <c r="J403" s="199"/>
      <c r="K403" s="199"/>
      <c r="L403" s="199"/>
      <c r="M403" s="199"/>
      <c r="N403" s="199"/>
      <c r="O403" s="199"/>
      <c r="P403" s="199"/>
      <c r="Q403" s="199"/>
    </row>
    <row r="404" spans="1:17" x14ac:dyDescent="0.25">
      <c r="A404" s="199"/>
      <c r="B404" s="199"/>
      <c r="C404" s="199"/>
      <c r="D404" s="199"/>
      <c r="E404" s="199"/>
      <c r="F404" s="199"/>
      <c r="G404" s="199"/>
      <c r="H404" s="203"/>
      <c r="I404" s="199"/>
      <c r="J404" s="199"/>
      <c r="K404" s="199"/>
      <c r="L404" s="199"/>
      <c r="M404" s="199"/>
      <c r="N404" s="199"/>
      <c r="O404" s="199"/>
      <c r="P404" s="199"/>
      <c r="Q404" s="199"/>
    </row>
    <row r="405" spans="1:17" x14ac:dyDescent="0.25">
      <c r="A405" s="199"/>
      <c r="B405" s="199"/>
      <c r="C405" s="199"/>
      <c r="D405" s="199"/>
      <c r="E405" s="199"/>
      <c r="F405" s="199"/>
      <c r="G405" s="199"/>
      <c r="H405" s="203"/>
      <c r="I405" s="199"/>
      <c r="J405" s="199"/>
      <c r="K405" s="199"/>
      <c r="L405" s="199"/>
      <c r="M405" s="199"/>
      <c r="N405" s="199"/>
      <c r="O405" s="199"/>
      <c r="P405" s="199"/>
      <c r="Q405" s="199"/>
    </row>
    <row r="406" spans="1:17" x14ac:dyDescent="0.25">
      <c r="A406" s="199"/>
      <c r="B406" s="199"/>
      <c r="C406" s="199"/>
      <c r="D406" s="199"/>
      <c r="E406" s="199"/>
      <c r="F406" s="199"/>
      <c r="G406" s="199"/>
      <c r="H406" s="203"/>
      <c r="I406" s="199"/>
      <c r="J406" s="199"/>
      <c r="K406" s="199"/>
      <c r="L406" s="199"/>
      <c r="M406" s="199"/>
      <c r="N406" s="199"/>
      <c r="O406" s="199"/>
      <c r="P406" s="199"/>
      <c r="Q406" s="199"/>
    </row>
    <row r="407" spans="1:17" x14ac:dyDescent="0.25">
      <c r="A407" s="199"/>
      <c r="B407" s="199"/>
      <c r="C407" s="199"/>
      <c r="D407" s="199"/>
      <c r="E407" s="199"/>
      <c r="F407" s="199"/>
      <c r="G407" s="199"/>
      <c r="H407" s="203"/>
      <c r="I407" s="199"/>
      <c r="J407" s="199"/>
      <c r="K407" s="199"/>
      <c r="L407" s="199"/>
      <c r="M407" s="199"/>
      <c r="N407" s="199"/>
      <c r="O407" s="199"/>
      <c r="P407" s="199"/>
      <c r="Q407" s="199"/>
    </row>
    <row r="408" spans="1:17" x14ac:dyDescent="0.25">
      <c r="A408" s="199"/>
      <c r="B408" s="199"/>
      <c r="C408" s="199"/>
      <c r="D408" s="199"/>
      <c r="E408" s="199"/>
      <c r="F408" s="199"/>
      <c r="G408" s="199"/>
      <c r="H408" s="203"/>
      <c r="I408" s="199"/>
      <c r="J408" s="199"/>
      <c r="K408" s="199"/>
      <c r="L408" s="199"/>
      <c r="M408" s="199"/>
      <c r="N408" s="199"/>
      <c r="O408" s="199"/>
      <c r="P408" s="199"/>
      <c r="Q408" s="199"/>
    </row>
    <row r="409" spans="1:17" x14ac:dyDescent="0.25">
      <c r="A409" s="199"/>
      <c r="B409" s="199"/>
      <c r="C409" s="199"/>
      <c r="D409" s="199"/>
      <c r="E409" s="199"/>
      <c r="F409" s="199"/>
      <c r="G409" s="199"/>
      <c r="H409" s="203"/>
      <c r="I409" s="199"/>
      <c r="J409" s="199"/>
      <c r="K409" s="199"/>
      <c r="L409" s="199"/>
      <c r="M409" s="199"/>
      <c r="N409" s="199"/>
      <c r="O409" s="199"/>
      <c r="P409" s="199"/>
      <c r="Q409" s="199"/>
    </row>
    <row r="410" spans="1:17" x14ac:dyDescent="0.25">
      <c r="A410" s="199"/>
      <c r="B410" s="199"/>
      <c r="C410" s="199"/>
      <c r="D410" s="199"/>
      <c r="E410" s="199"/>
      <c r="F410" s="199"/>
      <c r="G410" s="199"/>
      <c r="H410" s="203"/>
      <c r="I410" s="199"/>
      <c r="J410" s="199"/>
      <c r="K410" s="199"/>
      <c r="L410" s="199"/>
      <c r="M410" s="199"/>
      <c r="N410" s="199"/>
      <c r="O410" s="199"/>
      <c r="P410" s="199"/>
      <c r="Q410" s="199"/>
    </row>
    <row r="411" spans="1:17" x14ac:dyDescent="0.25">
      <c r="A411" s="199"/>
      <c r="B411" s="199"/>
      <c r="C411" s="199"/>
      <c r="D411" s="199"/>
      <c r="E411" s="199"/>
      <c r="F411" s="199"/>
      <c r="G411" s="199"/>
      <c r="H411" s="203"/>
      <c r="I411" s="199"/>
      <c r="J411" s="199"/>
      <c r="K411" s="199"/>
      <c r="L411" s="199"/>
      <c r="M411" s="199"/>
      <c r="N411" s="199"/>
      <c r="O411" s="199"/>
      <c r="P411" s="199"/>
      <c r="Q411" s="199"/>
    </row>
    <row r="412" spans="1:17" x14ac:dyDescent="0.25">
      <c r="A412" s="199"/>
      <c r="B412" s="199"/>
      <c r="C412" s="199"/>
      <c r="D412" s="199"/>
      <c r="E412" s="199"/>
      <c r="F412" s="199"/>
      <c r="G412" s="199"/>
      <c r="H412" s="203"/>
      <c r="I412" s="199"/>
      <c r="J412" s="199"/>
      <c r="K412" s="199"/>
      <c r="L412" s="199"/>
      <c r="M412" s="199"/>
      <c r="N412" s="199"/>
      <c r="O412" s="199"/>
      <c r="P412" s="199"/>
      <c r="Q412" s="199"/>
    </row>
    <row r="413" spans="1:17" x14ac:dyDescent="0.25">
      <c r="A413" s="199"/>
      <c r="B413" s="199"/>
      <c r="C413" s="199"/>
      <c r="D413" s="199"/>
      <c r="E413" s="199"/>
      <c r="F413" s="199"/>
      <c r="G413" s="199"/>
      <c r="H413" s="203"/>
      <c r="I413" s="199"/>
      <c r="J413" s="199"/>
      <c r="K413" s="199"/>
      <c r="L413" s="199"/>
      <c r="M413" s="199"/>
      <c r="N413" s="199"/>
      <c r="O413" s="199"/>
      <c r="P413" s="199"/>
      <c r="Q413" s="199"/>
    </row>
    <row r="414" spans="1:17" x14ac:dyDescent="0.25">
      <c r="A414" s="199"/>
      <c r="B414" s="199"/>
      <c r="C414" s="199"/>
      <c r="D414" s="199"/>
      <c r="E414" s="199"/>
      <c r="F414" s="199"/>
      <c r="G414" s="199"/>
      <c r="H414" s="203"/>
      <c r="I414" s="199"/>
      <c r="J414" s="199"/>
      <c r="K414" s="199"/>
      <c r="L414" s="199"/>
      <c r="M414" s="199"/>
      <c r="N414" s="199"/>
      <c r="O414" s="199"/>
      <c r="P414" s="199"/>
      <c r="Q414" s="199"/>
    </row>
    <row r="415" spans="1:17" x14ac:dyDescent="0.25">
      <c r="A415" s="199"/>
      <c r="B415" s="199"/>
      <c r="C415" s="199"/>
      <c r="D415" s="199"/>
      <c r="E415" s="199"/>
      <c r="F415" s="199"/>
      <c r="G415" s="199"/>
      <c r="H415" s="203"/>
      <c r="I415" s="199"/>
      <c r="J415" s="199"/>
      <c r="K415" s="199"/>
      <c r="L415" s="199"/>
      <c r="M415" s="199"/>
      <c r="N415" s="199"/>
      <c r="O415" s="199"/>
      <c r="P415" s="199"/>
      <c r="Q415" s="199"/>
    </row>
    <row r="416" spans="1:17" x14ac:dyDescent="0.25">
      <c r="A416" s="199"/>
      <c r="B416" s="199"/>
      <c r="C416" s="199"/>
      <c r="D416" s="199"/>
      <c r="E416" s="199"/>
      <c r="F416" s="199"/>
      <c r="G416" s="199"/>
      <c r="H416" s="203"/>
      <c r="I416" s="199"/>
      <c r="J416" s="199"/>
      <c r="K416" s="199"/>
      <c r="L416" s="199"/>
      <c r="M416" s="199"/>
      <c r="N416" s="199"/>
      <c r="O416" s="199"/>
      <c r="P416" s="199"/>
      <c r="Q416" s="199"/>
    </row>
    <row r="417" spans="1:17" x14ac:dyDescent="0.25">
      <c r="A417" s="199"/>
      <c r="B417" s="199"/>
      <c r="C417" s="199"/>
      <c r="D417" s="199"/>
      <c r="E417" s="199"/>
      <c r="F417" s="199"/>
      <c r="G417" s="199"/>
      <c r="H417" s="203"/>
      <c r="I417" s="199"/>
      <c r="J417" s="199"/>
      <c r="K417" s="199"/>
      <c r="L417" s="199"/>
      <c r="M417" s="199"/>
      <c r="N417" s="199"/>
      <c r="O417" s="199"/>
      <c r="P417" s="199"/>
      <c r="Q417" s="199"/>
    </row>
    <row r="418" spans="1:17" x14ac:dyDescent="0.25">
      <c r="A418" s="199"/>
      <c r="B418" s="199"/>
      <c r="C418" s="199"/>
      <c r="D418" s="199"/>
      <c r="E418" s="199"/>
      <c r="F418" s="199"/>
      <c r="G418" s="199"/>
      <c r="H418" s="203"/>
      <c r="I418" s="199"/>
      <c r="J418" s="199"/>
      <c r="K418" s="199"/>
      <c r="L418" s="199"/>
      <c r="M418" s="199"/>
      <c r="N418" s="199"/>
      <c r="O418" s="199"/>
      <c r="P418" s="199"/>
      <c r="Q418" s="199"/>
    </row>
    <row r="419" spans="1:17" x14ac:dyDescent="0.25">
      <c r="A419" s="199"/>
      <c r="B419" s="199"/>
      <c r="C419" s="199"/>
      <c r="D419" s="199"/>
      <c r="E419" s="199"/>
      <c r="F419" s="199"/>
      <c r="G419" s="199"/>
      <c r="H419" s="203"/>
      <c r="I419" s="199"/>
      <c r="J419" s="199"/>
      <c r="K419" s="199"/>
      <c r="L419" s="199"/>
      <c r="M419" s="199"/>
      <c r="N419" s="199"/>
      <c r="O419" s="199"/>
      <c r="P419" s="199"/>
      <c r="Q419" s="199"/>
    </row>
    <row r="420" spans="1:17" x14ac:dyDescent="0.25">
      <c r="A420" s="199"/>
      <c r="B420" s="199"/>
      <c r="C420" s="199"/>
      <c r="D420" s="199"/>
      <c r="E420" s="199"/>
      <c r="F420" s="199"/>
      <c r="G420" s="199"/>
      <c r="H420" s="203"/>
      <c r="I420" s="199"/>
      <c r="J420" s="199"/>
      <c r="K420" s="199"/>
      <c r="L420" s="199"/>
      <c r="M420" s="199"/>
      <c r="N420" s="199"/>
      <c r="O420" s="199"/>
      <c r="P420" s="199"/>
      <c r="Q420" s="199"/>
    </row>
    <row r="421" spans="1:17" x14ac:dyDescent="0.25">
      <c r="A421" s="199"/>
      <c r="B421" s="199"/>
      <c r="C421" s="199"/>
      <c r="D421" s="199"/>
      <c r="E421" s="199"/>
      <c r="F421" s="199"/>
      <c r="G421" s="199"/>
      <c r="H421" s="203"/>
      <c r="I421" s="199"/>
      <c r="J421" s="199"/>
      <c r="K421" s="199"/>
      <c r="L421" s="199"/>
      <c r="M421" s="199"/>
      <c r="N421" s="199"/>
      <c r="O421" s="199"/>
      <c r="P421" s="199"/>
      <c r="Q421" s="199"/>
    </row>
    <row r="422" spans="1:17" x14ac:dyDescent="0.25">
      <c r="A422" s="199"/>
      <c r="B422" s="199"/>
      <c r="C422" s="199"/>
      <c r="D422" s="199"/>
      <c r="E422" s="199"/>
      <c r="F422" s="199"/>
      <c r="G422" s="199"/>
      <c r="H422" s="203"/>
      <c r="I422" s="199"/>
      <c r="J422" s="199"/>
      <c r="K422" s="199"/>
      <c r="L422" s="199"/>
      <c r="M422" s="199"/>
      <c r="N422" s="199"/>
      <c r="O422" s="199"/>
      <c r="P422" s="199"/>
      <c r="Q422" s="199"/>
    </row>
    <row r="423" spans="1:17" x14ac:dyDescent="0.25">
      <c r="A423" s="199"/>
      <c r="B423" s="199"/>
      <c r="C423" s="199"/>
      <c r="D423" s="199"/>
      <c r="E423" s="199"/>
      <c r="F423" s="199"/>
      <c r="G423" s="199"/>
      <c r="H423" s="203"/>
      <c r="I423" s="199"/>
      <c r="J423" s="199"/>
      <c r="K423" s="199"/>
      <c r="L423" s="199"/>
      <c r="M423" s="199"/>
      <c r="N423" s="199"/>
      <c r="O423" s="199"/>
      <c r="P423" s="199"/>
      <c r="Q423" s="199"/>
    </row>
    <row r="424" spans="1:17" x14ac:dyDescent="0.25">
      <c r="A424" s="199"/>
      <c r="B424" s="199"/>
      <c r="C424" s="199"/>
      <c r="D424" s="199"/>
      <c r="E424" s="199"/>
      <c r="F424" s="199"/>
      <c r="G424" s="199"/>
      <c r="H424" s="203"/>
      <c r="I424" s="199"/>
      <c r="J424" s="199"/>
      <c r="K424" s="199"/>
      <c r="L424" s="199"/>
      <c r="M424" s="199"/>
      <c r="N424" s="199"/>
      <c r="O424" s="199"/>
      <c r="P424" s="199"/>
      <c r="Q424" s="199"/>
    </row>
    <row r="425" spans="1:17" x14ac:dyDescent="0.25">
      <c r="A425" s="199"/>
      <c r="B425" s="199"/>
      <c r="C425" s="199"/>
      <c r="D425" s="199"/>
      <c r="E425" s="199"/>
      <c r="F425" s="199"/>
      <c r="G425" s="199"/>
      <c r="H425" s="203"/>
      <c r="I425" s="199"/>
      <c r="J425" s="199"/>
      <c r="K425" s="199"/>
      <c r="L425" s="199"/>
      <c r="M425" s="199"/>
      <c r="N425" s="199"/>
      <c r="O425" s="199"/>
      <c r="P425" s="199"/>
      <c r="Q425" s="199"/>
    </row>
    <row r="426" spans="1:17" x14ac:dyDescent="0.25">
      <c r="A426" s="199"/>
      <c r="B426" s="199"/>
      <c r="C426" s="199"/>
      <c r="D426" s="199"/>
      <c r="E426" s="199"/>
      <c r="F426" s="199"/>
      <c r="G426" s="199"/>
      <c r="H426" s="203"/>
      <c r="I426" s="199"/>
      <c r="J426" s="199"/>
      <c r="K426" s="199"/>
      <c r="L426" s="199"/>
      <c r="M426" s="199"/>
      <c r="N426" s="199"/>
      <c r="O426" s="199"/>
      <c r="P426" s="199"/>
      <c r="Q426" s="199"/>
    </row>
    <row r="427" spans="1:17" x14ac:dyDescent="0.25">
      <c r="A427" s="199"/>
      <c r="B427" s="199"/>
      <c r="C427" s="199"/>
      <c r="D427" s="199"/>
      <c r="E427" s="199"/>
      <c r="F427" s="199"/>
      <c r="G427" s="199"/>
      <c r="H427" s="203"/>
      <c r="I427" s="199"/>
      <c r="J427" s="199"/>
      <c r="K427" s="199"/>
      <c r="L427" s="199"/>
      <c r="M427" s="199"/>
      <c r="N427" s="199"/>
      <c r="O427" s="199"/>
      <c r="P427" s="199"/>
      <c r="Q427" s="199"/>
    </row>
    <row r="428" spans="1:17" x14ac:dyDescent="0.25">
      <c r="A428" s="199"/>
      <c r="B428" s="199"/>
      <c r="C428" s="199"/>
      <c r="D428" s="199"/>
      <c r="E428" s="199"/>
      <c r="F428" s="199"/>
      <c r="G428" s="199"/>
      <c r="H428" s="203"/>
      <c r="I428" s="199"/>
      <c r="J428" s="199"/>
      <c r="K428" s="199"/>
      <c r="L428" s="199"/>
      <c r="M428" s="199"/>
      <c r="N428" s="199"/>
      <c r="O428" s="199"/>
      <c r="P428" s="199"/>
      <c r="Q428" s="199"/>
    </row>
    <row r="429" spans="1:17" x14ac:dyDescent="0.25">
      <c r="A429" s="199"/>
      <c r="B429" s="199"/>
      <c r="C429" s="199"/>
      <c r="D429" s="199"/>
      <c r="E429" s="199"/>
      <c r="F429" s="199"/>
      <c r="G429" s="199"/>
      <c r="H429" s="203"/>
      <c r="I429" s="199"/>
      <c r="J429" s="199"/>
      <c r="K429" s="199"/>
      <c r="L429" s="199"/>
      <c r="M429" s="199"/>
      <c r="N429" s="199"/>
      <c r="O429" s="199"/>
      <c r="P429" s="199"/>
      <c r="Q429" s="199"/>
    </row>
    <row r="430" spans="1:17" x14ac:dyDescent="0.25">
      <c r="A430" s="199"/>
      <c r="B430" s="199"/>
      <c r="C430" s="199"/>
      <c r="D430" s="199"/>
      <c r="E430" s="199"/>
      <c r="F430" s="199"/>
      <c r="G430" s="199"/>
      <c r="H430" s="203"/>
      <c r="I430" s="199"/>
      <c r="J430" s="199"/>
      <c r="K430" s="199"/>
      <c r="L430" s="199"/>
      <c r="M430" s="199"/>
      <c r="N430" s="199"/>
      <c r="O430" s="199"/>
      <c r="P430" s="199"/>
      <c r="Q430" s="199"/>
    </row>
    <row r="431" spans="1:17" x14ac:dyDescent="0.25">
      <c r="A431" s="199"/>
      <c r="B431" s="199"/>
      <c r="C431" s="199"/>
      <c r="D431" s="199"/>
      <c r="E431" s="199"/>
      <c r="F431" s="199"/>
      <c r="G431" s="199"/>
      <c r="H431" s="203"/>
      <c r="I431" s="199"/>
      <c r="J431" s="199"/>
      <c r="K431" s="199"/>
      <c r="L431" s="199"/>
      <c r="M431" s="199"/>
      <c r="N431" s="199"/>
      <c r="O431" s="199"/>
      <c r="P431" s="199"/>
      <c r="Q431" s="199"/>
    </row>
    <row r="432" spans="1:17" x14ac:dyDescent="0.25">
      <c r="A432" s="199"/>
      <c r="B432" s="199"/>
      <c r="C432" s="199"/>
      <c r="D432" s="199"/>
      <c r="E432" s="199"/>
      <c r="F432" s="199"/>
      <c r="G432" s="199"/>
      <c r="H432" s="203"/>
      <c r="I432" s="199"/>
      <c r="J432" s="199"/>
      <c r="K432" s="199"/>
      <c r="L432" s="199"/>
      <c r="M432" s="199"/>
      <c r="N432" s="199"/>
      <c r="O432" s="199"/>
      <c r="P432" s="199"/>
      <c r="Q432" s="199"/>
    </row>
    <row r="433" spans="1:17" x14ac:dyDescent="0.25">
      <c r="A433" s="199"/>
      <c r="B433" s="199"/>
      <c r="C433" s="199"/>
      <c r="D433" s="199"/>
      <c r="E433" s="199"/>
      <c r="F433" s="199"/>
      <c r="G433" s="199"/>
      <c r="H433" s="203"/>
      <c r="I433" s="199"/>
      <c r="J433" s="199"/>
      <c r="K433" s="199"/>
      <c r="L433" s="199"/>
      <c r="M433" s="199"/>
      <c r="N433" s="199"/>
      <c r="O433" s="199"/>
      <c r="P433" s="199"/>
      <c r="Q433" s="199"/>
    </row>
    <row r="434" spans="1:17" x14ac:dyDescent="0.25">
      <c r="A434" s="199"/>
      <c r="B434" s="199"/>
      <c r="C434" s="199"/>
      <c r="D434" s="199"/>
      <c r="E434" s="199"/>
      <c r="F434" s="199"/>
      <c r="G434" s="199"/>
      <c r="H434" s="203"/>
      <c r="I434" s="199"/>
      <c r="J434" s="199"/>
      <c r="K434" s="199"/>
      <c r="L434" s="199"/>
      <c r="M434" s="199"/>
      <c r="N434" s="199"/>
      <c r="O434" s="199"/>
      <c r="P434" s="199"/>
      <c r="Q434" s="199"/>
    </row>
    <row r="435" spans="1:17" x14ac:dyDescent="0.25">
      <c r="A435" s="199"/>
      <c r="B435" s="199"/>
      <c r="C435" s="199"/>
      <c r="D435" s="199"/>
      <c r="E435" s="199"/>
      <c r="F435" s="199"/>
      <c r="G435" s="199"/>
      <c r="H435" s="203"/>
      <c r="I435" s="199"/>
      <c r="J435" s="199"/>
      <c r="K435" s="199"/>
      <c r="L435" s="199"/>
      <c r="M435" s="199"/>
      <c r="N435" s="199"/>
      <c r="O435" s="199"/>
      <c r="P435" s="199"/>
      <c r="Q435" s="199"/>
    </row>
    <row r="436" spans="1:17" x14ac:dyDescent="0.25">
      <c r="A436" s="199"/>
      <c r="B436" s="199"/>
      <c r="C436" s="199"/>
      <c r="D436" s="199"/>
      <c r="E436" s="199"/>
      <c r="F436" s="199"/>
      <c r="G436" s="199"/>
      <c r="H436" s="203"/>
      <c r="I436" s="199"/>
      <c r="J436" s="199"/>
      <c r="K436" s="199"/>
      <c r="L436" s="199"/>
      <c r="M436" s="199"/>
      <c r="N436" s="199"/>
      <c r="O436" s="199"/>
      <c r="P436" s="199"/>
      <c r="Q436" s="199"/>
    </row>
    <row r="437" spans="1:17" x14ac:dyDescent="0.25">
      <c r="A437" s="199"/>
      <c r="B437" s="199"/>
      <c r="C437" s="199"/>
      <c r="D437" s="199"/>
      <c r="E437" s="199"/>
      <c r="F437" s="199"/>
      <c r="G437" s="199"/>
      <c r="H437" s="203"/>
      <c r="I437" s="199"/>
      <c r="J437" s="199"/>
      <c r="K437" s="199"/>
      <c r="L437" s="199"/>
      <c r="M437" s="199"/>
      <c r="N437" s="199"/>
      <c r="O437" s="199"/>
      <c r="P437" s="199"/>
      <c r="Q437" s="199"/>
    </row>
    <row r="438" spans="1:17" x14ac:dyDescent="0.25">
      <c r="A438" s="199"/>
      <c r="B438" s="199"/>
      <c r="C438" s="199"/>
      <c r="D438" s="199"/>
      <c r="E438" s="199"/>
      <c r="F438" s="199"/>
      <c r="G438" s="199"/>
      <c r="H438" s="203"/>
      <c r="I438" s="199"/>
      <c r="J438" s="199"/>
      <c r="K438" s="199"/>
      <c r="L438" s="199"/>
      <c r="M438" s="199"/>
      <c r="N438" s="199"/>
      <c r="O438" s="199"/>
      <c r="P438" s="199"/>
      <c r="Q438" s="199"/>
    </row>
    <row r="439" spans="1:17" x14ac:dyDescent="0.25">
      <c r="A439" s="199"/>
      <c r="B439" s="199"/>
      <c r="C439" s="199"/>
      <c r="D439" s="199"/>
      <c r="E439" s="199"/>
      <c r="F439" s="199"/>
      <c r="G439" s="199"/>
      <c r="H439" s="203"/>
      <c r="I439" s="199"/>
      <c r="J439" s="199"/>
      <c r="K439" s="199"/>
      <c r="L439" s="199"/>
      <c r="M439" s="199"/>
      <c r="N439" s="199"/>
      <c r="O439" s="199"/>
      <c r="P439" s="199"/>
      <c r="Q439" s="199"/>
    </row>
    <row r="440" spans="1:17" x14ac:dyDescent="0.25">
      <c r="A440" s="199"/>
      <c r="B440" s="199"/>
      <c r="C440" s="199"/>
      <c r="D440" s="199"/>
      <c r="E440" s="199"/>
      <c r="F440" s="199"/>
      <c r="G440" s="199"/>
      <c r="H440" s="203"/>
      <c r="I440" s="199"/>
      <c r="J440" s="199"/>
      <c r="K440" s="199"/>
      <c r="L440" s="199"/>
      <c r="M440" s="199"/>
      <c r="N440" s="199"/>
      <c r="O440" s="199"/>
      <c r="P440" s="199"/>
      <c r="Q440" s="199"/>
    </row>
    <row r="441" spans="1:17" x14ac:dyDescent="0.25">
      <c r="A441" s="199"/>
      <c r="B441" s="199"/>
      <c r="C441" s="199"/>
      <c r="D441" s="199"/>
      <c r="E441" s="199"/>
      <c r="F441" s="199"/>
      <c r="G441" s="199"/>
      <c r="H441" s="203"/>
      <c r="I441" s="199"/>
      <c r="J441" s="199"/>
      <c r="K441" s="199"/>
      <c r="L441" s="199"/>
      <c r="M441" s="199"/>
      <c r="N441" s="199"/>
      <c r="O441" s="199"/>
      <c r="P441" s="199"/>
      <c r="Q441" s="199"/>
    </row>
    <row r="442" spans="1:17" x14ac:dyDescent="0.25">
      <c r="A442" s="199"/>
      <c r="B442" s="199"/>
      <c r="C442" s="199"/>
      <c r="D442" s="199"/>
      <c r="E442" s="199"/>
      <c r="F442" s="199"/>
      <c r="G442" s="199"/>
      <c r="H442" s="203"/>
      <c r="I442" s="199"/>
      <c r="J442" s="199"/>
      <c r="K442" s="199"/>
      <c r="L442" s="199"/>
      <c r="M442" s="199"/>
      <c r="N442" s="199"/>
      <c r="O442" s="199"/>
      <c r="P442" s="199"/>
      <c r="Q442" s="199"/>
    </row>
    <row r="443" spans="1:17" x14ac:dyDescent="0.25">
      <c r="A443" s="199"/>
      <c r="B443" s="199"/>
      <c r="C443" s="199"/>
      <c r="D443" s="199"/>
      <c r="E443" s="199"/>
      <c r="F443" s="199"/>
      <c r="G443" s="199"/>
      <c r="H443" s="203"/>
      <c r="I443" s="199"/>
      <c r="J443" s="199"/>
      <c r="K443" s="199"/>
      <c r="L443" s="199"/>
      <c r="M443" s="199"/>
      <c r="N443" s="199"/>
      <c r="O443" s="199"/>
      <c r="P443" s="199"/>
      <c r="Q443" s="199"/>
    </row>
    <row r="444" spans="1:17" x14ac:dyDescent="0.25">
      <c r="A444" s="199"/>
      <c r="B444" s="199"/>
      <c r="C444" s="199"/>
      <c r="D444" s="199"/>
      <c r="E444" s="199"/>
      <c r="F444" s="199"/>
      <c r="G444" s="199"/>
      <c r="H444" s="203"/>
      <c r="I444" s="199"/>
      <c r="J444" s="199"/>
      <c r="K444" s="199"/>
      <c r="L444" s="199"/>
      <c r="M444" s="199"/>
      <c r="N444" s="199"/>
      <c r="O444" s="199"/>
      <c r="P444" s="199"/>
      <c r="Q444" s="199"/>
    </row>
    <row r="445" spans="1:17" x14ac:dyDescent="0.25">
      <c r="A445" s="199"/>
      <c r="B445" s="199"/>
      <c r="C445" s="199"/>
      <c r="D445" s="199"/>
      <c r="E445" s="199"/>
      <c r="F445" s="199"/>
      <c r="G445" s="199"/>
      <c r="H445" s="203"/>
      <c r="I445" s="199"/>
      <c r="J445" s="199"/>
      <c r="K445" s="199"/>
      <c r="L445" s="199"/>
      <c r="M445" s="199"/>
      <c r="N445" s="199"/>
      <c r="O445" s="199"/>
      <c r="P445" s="199"/>
      <c r="Q445" s="199"/>
    </row>
    <row r="446" spans="1:17" x14ac:dyDescent="0.25">
      <c r="A446" s="199"/>
      <c r="B446" s="199"/>
      <c r="C446" s="199"/>
      <c r="D446" s="199"/>
      <c r="E446" s="199"/>
      <c r="F446" s="199"/>
      <c r="G446" s="199"/>
      <c r="H446" s="203"/>
      <c r="I446" s="199"/>
      <c r="J446" s="199"/>
      <c r="K446" s="199"/>
      <c r="L446" s="199"/>
      <c r="M446" s="199"/>
      <c r="N446" s="199"/>
      <c r="O446" s="199"/>
      <c r="P446" s="199"/>
      <c r="Q446" s="199"/>
    </row>
    <row r="447" spans="1:17" x14ac:dyDescent="0.25">
      <c r="A447" s="199"/>
      <c r="B447" s="199"/>
      <c r="C447" s="199"/>
      <c r="D447" s="199"/>
      <c r="E447" s="199"/>
      <c r="F447" s="199"/>
      <c r="G447" s="199"/>
      <c r="H447" s="203"/>
      <c r="I447" s="199"/>
      <c r="J447" s="199"/>
      <c r="K447" s="199"/>
      <c r="L447" s="199"/>
      <c r="M447" s="199"/>
      <c r="N447" s="199"/>
      <c r="O447" s="199"/>
      <c r="P447" s="199"/>
      <c r="Q447" s="199"/>
    </row>
    <row r="448" spans="1:17" x14ac:dyDescent="0.25">
      <c r="A448" s="199"/>
      <c r="B448" s="199"/>
      <c r="C448" s="199"/>
      <c r="D448" s="199"/>
      <c r="E448" s="199"/>
      <c r="F448" s="199"/>
      <c r="G448" s="199"/>
      <c r="H448" s="203"/>
      <c r="I448" s="199"/>
      <c r="J448" s="199"/>
      <c r="K448" s="199"/>
      <c r="L448" s="199"/>
      <c r="M448" s="199"/>
      <c r="N448" s="199"/>
      <c r="O448" s="199"/>
      <c r="P448" s="199"/>
      <c r="Q448" s="199"/>
    </row>
    <row r="449" spans="1:17" x14ac:dyDescent="0.25">
      <c r="A449" s="199"/>
      <c r="B449" s="199"/>
      <c r="C449" s="199"/>
      <c r="D449" s="199"/>
      <c r="E449" s="199"/>
      <c r="F449" s="199"/>
      <c r="G449" s="199"/>
      <c r="H449" s="203"/>
      <c r="I449" s="199"/>
      <c r="J449" s="199"/>
      <c r="K449" s="199"/>
      <c r="L449" s="199"/>
      <c r="M449" s="199"/>
      <c r="N449" s="199"/>
      <c r="O449" s="199"/>
      <c r="P449" s="199"/>
      <c r="Q449" s="199"/>
    </row>
    <row r="450" spans="1:17" x14ac:dyDescent="0.25">
      <c r="A450" s="199"/>
      <c r="B450" s="199"/>
      <c r="C450" s="199"/>
      <c r="D450" s="199"/>
      <c r="E450" s="199"/>
      <c r="F450" s="199"/>
      <c r="G450" s="199"/>
      <c r="H450" s="203"/>
      <c r="I450" s="199"/>
      <c r="J450" s="199"/>
      <c r="K450" s="199"/>
      <c r="L450" s="199"/>
      <c r="M450" s="199"/>
      <c r="N450" s="199"/>
      <c r="O450" s="199"/>
      <c r="P450" s="199"/>
      <c r="Q450" s="199"/>
    </row>
    <row r="451" spans="1:17" x14ac:dyDescent="0.25">
      <c r="A451" s="199"/>
      <c r="B451" s="199"/>
      <c r="C451" s="199"/>
      <c r="D451" s="199"/>
      <c r="E451" s="199"/>
      <c r="F451" s="199"/>
      <c r="G451" s="199"/>
      <c r="H451" s="203"/>
      <c r="I451" s="199"/>
      <c r="J451" s="199"/>
      <c r="K451" s="199"/>
      <c r="L451" s="199"/>
      <c r="M451" s="199"/>
      <c r="N451" s="199"/>
      <c r="O451" s="199"/>
      <c r="P451" s="199"/>
      <c r="Q451" s="199"/>
    </row>
    <row r="452" spans="1:17" x14ac:dyDescent="0.25">
      <c r="A452" s="199"/>
      <c r="B452" s="199"/>
      <c r="C452" s="199"/>
      <c r="D452" s="199"/>
      <c r="E452" s="199"/>
      <c r="F452" s="199"/>
      <c r="G452" s="199"/>
      <c r="H452" s="203"/>
      <c r="I452" s="199"/>
      <c r="J452" s="199"/>
      <c r="K452" s="199"/>
      <c r="L452" s="199"/>
      <c r="M452" s="199"/>
      <c r="N452" s="199"/>
      <c r="O452" s="199"/>
      <c r="P452" s="199"/>
      <c r="Q452" s="199"/>
    </row>
    <row r="453" spans="1:17" x14ac:dyDescent="0.25">
      <c r="A453" s="199"/>
      <c r="B453" s="199"/>
      <c r="C453" s="199"/>
      <c r="D453" s="199"/>
      <c r="E453" s="199"/>
      <c r="F453" s="199"/>
      <c r="G453" s="199"/>
      <c r="H453" s="203"/>
      <c r="I453" s="199"/>
      <c r="J453" s="199"/>
      <c r="K453" s="199"/>
      <c r="L453" s="199"/>
      <c r="M453" s="199"/>
      <c r="N453" s="199"/>
      <c r="O453" s="199"/>
      <c r="P453" s="199"/>
      <c r="Q453" s="199"/>
    </row>
    <row r="454" spans="1:17" x14ac:dyDescent="0.25">
      <c r="A454" s="199"/>
      <c r="B454" s="199"/>
      <c r="C454" s="199"/>
      <c r="D454" s="199"/>
      <c r="E454" s="199"/>
      <c r="F454" s="199"/>
      <c r="G454" s="199"/>
      <c r="H454" s="203"/>
      <c r="I454" s="199"/>
      <c r="J454" s="199"/>
      <c r="K454" s="199"/>
      <c r="L454" s="199"/>
      <c r="M454" s="199"/>
      <c r="N454" s="199"/>
      <c r="O454" s="199"/>
      <c r="P454" s="199"/>
      <c r="Q454" s="199"/>
    </row>
    <row r="455" spans="1:17" x14ac:dyDescent="0.25">
      <c r="A455" s="199"/>
      <c r="B455" s="199"/>
      <c r="C455" s="199"/>
      <c r="D455" s="199"/>
      <c r="E455" s="199"/>
      <c r="F455" s="199"/>
      <c r="G455" s="199"/>
      <c r="H455" s="203"/>
      <c r="I455" s="199"/>
      <c r="J455" s="199"/>
      <c r="K455" s="199"/>
      <c r="L455" s="199"/>
      <c r="M455" s="199"/>
      <c r="N455" s="199"/>
      <c r="O455" s="199"/>
      <c r="P455" s="199"/>
      <c r="Q455" s="199"/>
    </row>
    <row r="456" spans="1:17" x14ac:dyDescent="0.25">
      <c r="A456" s="199"/>
      <c r="B456" s="199"/>
      <c r="C456" s="199"/>
      <c r="D456" s="199"/>
      <c r="E456" s="199"/>
      <c r="F456" s="199"/>
      <c r="G456" s="199"/>
      <c r="H456" s="203"/>
      <c r="I456" s="199"/>
      <c r="J456" s="199"/>
      <c r="K456" s="199"/>
      <c r="L456" s="199"/>
      <c r="M456" s="199"/>
      <c r="N456" s="199"/>
      <c r="O456" s="199"/>
      <c r="P456" s="199"/>
      <c r="Q456" s="199"/>
    </row>
    <row r="457" spans="1:17" x14ac:dyDescent="0.25">
      <c r="A457" s="199"/>
      <c r="B457" s="199"/>
      <c r="C457" s="199"/>
      <c r="D457" s="199"/>
      <c r="E457" s="199"/>
      <c r="F457" s="199"/>
      <c r="G457" s="199"/>
      <c r="H457" s="203"/>
      <c r="I457" s="199"/>
      <c r="J457" s="199"/>
      <c r="K457" s="199"/>
      <c r="L457" s="199"/>
      <c r="M457" s="199"/>
      <c r="N457" s="199"/>
      <c r="O457" s="199"/>
      <c r="P457" s="199"/>
      <c r="Q457" s="199"/>
    </row>
    <row r="458" spans="1:17" x14ac:dyDescent="0.25">
      <c r="A458" s="199"/>
      <c r="B458" s="199"/>
      <c r="C458" s="199"/>
      <c r="D458" s="199"/>
      <c r="E458" s="199"/>
      <c r="F458" s="199"/>
      <c r="G458" s="199"/>
      <c r="H458" s="203"/>
      <c r="I458" s="199"/>
      <c r="J458" s="199"/>
      <c r="K458" s="199"/>
      <c r="L458" s="199"/>
      <c r="M458" s="199"/>
      <c r="N458" s="199"/>
      <c r="O458" s="199"/>
      <c r="P458" s="199"/>
      <c r="Q458" s="199"/>
    </row>
    <row r="459" spans="1:17" x14ac:dyDescent="0.25">
      <c r="A459" s="199"/>
      <c r="B459" s="199"/>
      <c r="C459" s="199"/>
      <c r="D459" s="199"/>
      <c r="E459" s="199"/>
      <c r="F459" s="199"/>
      <c r="G459" s="199"/>
      <c r="H459" s="203"/>
      <c r="I459" s="199"/>
      <c r="J459" s="199"/>
      <c r="K459" s="199"/>
      <c r="L459" s="199"/>
      <c r="M459" s="199"/>
      <c r="N459" s="199"/>
      <c r="O459" s="199"/>
      <c r="P459" s="199"/>
      <c r="Q459" s="199"/>
    </row>
    <row r="460" spans="1:17" x14ac:dyDescent="0.25">
      <c r="A460" s="199"/>
      <c r="B460" s="199"/>
      <c r="C460" s="199"/>
      <c r="D460" s="199"/>
      <c r="E460" s="199"/>
      <c r="F460" s="199"/>
      <c r="G460" s="199"/>
      <c r="H460" s="203"/>
      <c r="I460" s="199"/>
      <c r="J460" s="199"/>
      <c r="K460" s="199"/>
      <c r="L460" s="199"/>
      <c r="M460" s="199"/>
      <c r="N460" s="199"/>
      <c r="O460" s="199"/>
      <c r="P460" s="199"/>
      <c r="Q460" s="199"/>
    </row>
    <row r="461" spans="1:17" x14ac:dyDescent="0.25">
      <c r="A461" s="199"/>
      <c r="B461" s="199"/>
      <c r="C461" s="199"/>
      <c r="D461" s="199"/>
      <c r="E461" s="199"/>
      <c r="F461" s="199"/>
      <c r="G461" s="199"/>
      <c r="H461" s="203"/>
      <c r="I461" s="199"/>
      <c r="J461" s="199"/>
      <c r="K461" s="199"/>
      <c r="L461" s="199"/>
      <c r="M461" s="199"/>
      <c r="N461" s="199"/>
      <c r="O461" s="199"/>
      <c r="P461" s="199"/>
      <c r="Q461" s="199"/>
    </row>
    <row r="462" spans="1:17" x14ac:dyDescent="0.25">
      <c r="A462" s="199"/>
      <c r="B462" s="199"/>
      <c r="C462" s="199"/>
      <c r="D462" s="199"/>
      <c r="E462" s="199"/>
      <c r="F462" s="199"/>
      <c r="G462" s="199"/>
      <c r="H462" s="203"/>
      <c r="I462" s="199"/>
      <c r="J462" s="199"/>
      <c r="K462" s="199"/>
      <c r="L462" s="199"/>
      <c r="M462" s="199"/>
      <c r="N462" s="199"/>
      <c r="O462" s="199"/>
      <c r="P462" s="199"/>
      <c r="Q462" s="199"/>
    </row>
    <row r="463" spans="1:17" x14ac:dyDescent="0.25">
      <c r="A463" s="199"/>
      <c r="B463" s="199"/>
      <c r="C463" s="199"/>
      <c r="D463" s="199"/>
      <c r="E463" s="199"/>
      <c r="F463" s="199"/>
      <c r="G463" s="199"/>
      <c r="H463" s="203"/>
      <c r="I463" s="199"/>
      <c r="J463" s="199"/>
      <c r="K463" s="199"/>
      <c r="L463" s="199"/>
      <c r="M463" s="199"/>
      <c r="N463" s="199"/>
      <c r="O463" s="199"/>
      <c r="P463" s="199"/>
      <c r="Q463" s="199"/>
    </row>
    <row r="464" spans="1:17" x14ac:dyDescent="0.25">
      <c r="A464" s="199"/>
      <c r="B464" s="199"/>
      <c r="C464" s="199"/>
      <c r="D464" s="199"/>
      <c r="E464" s="199"/>
      <c r="F464" s="199"/>
      <c r="G464" s="199"/>
      <c r="H464" s="203"/>
      <c r="I464" s="199"/>
      <c r="J464" s="199"/>
      <c r="K464" s="199"/>
      <c r="L464" s="199"/>
      <c r="M464" s="199"/>
      <c r="N464" s="199"/>
      <c r="O464" s="199"/>
      <c r="P464" s="199"/>
      <c r="Q464" s="199"/>
    </row>
    <row r="465" spans="1:17" x14ac:dyDescent="0.25">
      <c r="A465" s="199"/>
      <c r="B465" s="199"/>
      <c r="C465" s="199"/>
      <c r="D465" s="199"/>
      <c r="E465" s="199"/>
      <c r="F465" s="199"/>
      <c r="G465" s="199"/>
      <c r="H465" s="203"/>
      <c r="I465" s="199"/>
      <c r="J465" s="199"/>
      <c r="K465" s="199"/>
      <c r="L465" s="199"/>
      <c r="M465" s="199"/>
      <c r="N465" s="199"/>
      <c r="O465" s="199"/>
      <c r="P465" s="199"/>
      <c r="Q465" s="199"/>
    </row>
    <row r="466" spans="1:17" x14ac:dyDescent="0.25">
      <c r="A466" s="199"/>
      <c r="B466" s="199"/>
      <c r="C466" s="199"/>
      <c r="D466" s="199"/>
      <c r="E466" s="199"/>
      <c r="F466" s="199"/>
      <c r="G466" s="199"/>
      <c r="H466" s="203"/>
      <c r="I466" s="199"/>
      <c r="J466" s="199"/>
      <c r="K466" s="199"/>
      <c r="L466" s="199"/>
      <c r="M466" s="199"/>
      <c r="N466" s="199"/>
      <c r="O466" s="199"/>
      <c r="P466" s="199"/>
      <c r="Q466" s="199"/>
    </row>
    <row r="467" spans="1:17" x14ac:dyDescent="0.25">
      <c r="A467" s="199"/>
      <c r="B467" s="199"/>
      <c r="C467" s="199"/>
      <c r="D467" s="199"/>
      <c r="E467" s="199"/>
      <c r="F467" s="199"/>
      <c r="G467" s="199"/>
      <c r="H467" s="203"/>
      <c r="I467" s="199"/>
      <c r="J467" s="199"/>
      <c r="K467" s="199"/>
      <c r="L467" s="199"/>
      <c r="M467" s="199"/>
      <c r="N467" s="199"/>
      <c r="O467" s="199"/>
      <c r="P467" s="199"/>
      <c r="Q467" s="199"/>
    </row>
    <row r="468" spans="1:17" x14ac:dyDescent="0.25">
      <c r="A468" s="199"/>
      <c r="B468" s="199"/>
      <c r="C468" s="199"/>
      <c r="D468" s="199"/>
      <c r="E468" s="199"/>
      <c r="F468" s="199"/>
      <c r="G468" s="199"/>
      <c r="H468" s="203"/>
      <c r="I468" s="199"/>
      <c r="J468" s="199"/>
      <c r="K468" s="199"/>
      <c r="L468" s="199"/>
      <c r="M468" s="199"/>
      <c r="N468" s="199"/>
      <c r="O468" s="199"/>
      <c r="P468" s="199"/>
      <c r="Q468" s="199"/>
    </row>
    <row r="469" spans="1:17" x14ac:dyDescent="0.25">
      <c r="A469" s="199"/>
      <c r="B469" s="199"/>
      <c r="C469" s="199"/>
      <c r="D469" s="199"/>
      <c r="E469" s="199"/>
      <c r="F469" s="199"/>
      <c r="G469" s="199"/>
      <c r="H469" s="203"/>
      <c r="I469" s="199"/>
      <c r="J469" s="199"/>
      <c r="K469" s="199"/>
      <c r="L469" s="199"/>
      <c r="M469" s="199"/>
      <c r="N469" s="199"/>
      <c r="O469" s="199"/>
      <c r="P469" s="199"/>
      <c r="Q469" s="199"/>
    </row>
    <row r="470" spans="1:17" x14ac:dyDescent="0.25">
      <c r="A470" s="199"/>
      <c r="B470" s="199"/>
      <c r="C470" s="199"/>
      <c r="D470" s="199"/>
      <c r="E470" s="199"/>
      <c r="F470" s="199"/>
      <c r="G470" s="199"/>
      <c r="H470" s="203"/>
      <c r="I470" s="199"/>
      <c r="J470" s="199"/>
      <c r="K470" s="199"/>
      <c r="L470" s="199"/>
      <c r="M470" s="199"/>
      <c r="N470" s="199"/>
      <c r="O470" s="199"/>
      <c r="P470" s="199"/>
      <c r="Q470" s="199"/>
    </row>
    <row r="471" spans="1:17" x14ac:dyDescent="0.25">
      <c r="A471" s="199"/>
      <c r="B471" s="199"/>
      <c r="C471" s="199"/>
      <c r="D471" s="199"/>
      <c r="E471" s="199"/>
      <c r="F471" s="199"/>
      <c r="G471" s="199"/>
      <c r="H471" s="203"/>
      <c r="I471" s="199"/>
      <c r="J471" s="199"/>
      <c r="K471" s="199"/>
      <c r="L471" s="199"/>
      <c r="M471" s="199"/>
      <c r="N471" s="199"/>
      <c r="O471" s="199"/>
      <c r="P471" s="199"/>
      <c r="Q471" s="199"/>
    </row>
    <row r="472" spans="1:17" x14ac:dyDescent="0.25">
      <c r="A472" s="199"/>
      <c r="B472" s="199"/>
      <c r="C472" s="199"/>
      <c r="D472" s="199"/>
      <c r="E472" s="199"/>
      <c r="F472" s="199"/>
      <c r="G472" s="199"/>
      <c r="H472" s="203"/>
      <c r="I472" s="199"/>
      <c r="J472" s="199"/>
      <c r="K472" s="199"/>
      <c r="L472" s="199"/>
      <c r="M472" s="199"/>
      <c r="N472" s="199"/>
      <c r="O472" s="199"/>
      <c r="P472" s="199"/>
      <c r="Q472" s="199"/>
    </row>
    <row r="473" spans="1:17" x14ac:dyDescent="0.25">
      <c r="A473" s="199"/>
      <c r="B473" s="199"/>
      <c r="C473" s="199"/>
      <c r="D473" s="199"/>
      <c r="E473" s="199"/>
      <c r="F473" s="199"/>
      <c r="G473" s="199"/>
      <c r="H473" s="203"/>
      <c r="I473" s="199"/>
      <c r="J473" s="199"/>
      <c r="K473" s="199"/>
      <c r="L473" s="199"/>
      <c r="M473" s="199"/>
      <c r="N473" s="199"/>
      <c r="O473" s="199"/>
      <c r="P473" s="199"/>
      <c r="Q473" s="199"/>
    </row>
    <row r="474" spans="1:17" x14ac:dyDescent="0.25">
      <c r="A474" s="199"/>
      <c r="B474" s="199"/>
      <c r="C474" s="199"/>
      <c r="D474" s="199"/>
      <c r="E474" s="199"/>
      <c r="F474" s="199"/>
      <c r="G474" s="199"/>
      <c r="H474" s="203"/>
      <c r="I474" s="199"/>
      <c r="J474" s="199"/>
      <c r="K474" s="199"/>
      <c r="L474" s="199"/>
      <c r="M474" s="199"/>
      <c r="N474" s="199"/>
      <c r="O474" s="199"/>
      <c r="P474" s="199"/>
      <c r="Q474" s="199"/>
    </row>
    <row r="475" spans="1:17" x14ac:dyDescent="0.25">
      <c r="A475" s="199"/>
      <c r="B475" s="199"/>
      <c r="C475" s="199"/>
      <c r="D475" s="199"/>
      <c r="E475" s="199"/>
      <c r="F475" s="199"/>
      <c r="G475" s="199"/>
      <c r="H475" s="203"/>
      <c r="I475" s="199"/>
      <c r="J475" s="199"/>
      <c r="K475" s="199"/>
      <c r="L475" s="199"/>
      <c r="M475" s="199"/>
      <c r="N475" s="199"/>
      <c r="O475" s="199"/>
      <c r="P475" s="199"/>
      <c r="Q475" s="199"/>
    </row>
    <row r="476" spans="1:17" x14ac:dyDescent="0.25">
      <c r="A476" s="199"/>
      <c r="B476" s="199"/>
      <c r="C476" s="199"/>
      <c r="D476" s="199"/>
      <c r="E476" s="199"/>
      <c r="F476" s="199"/>
      <c r="G476" s="199"/>
      <c r="H476" s="203"/>
      <c r="I476" s="199"/>
      <c r="J476" s="199"/>
      <c r="K476" s="199"/>
      <c r="L476" s="199"/>
      <c r="M476" s="199"/>
      <c r="N476" s="199"/>
      <c r="O476" s="199"/>
      <c r="P476" s="199"/>
      <c r="Q476" s="199"/>
    </row>
    <row r="477" spans="1:17" x14ac:dyDescent="0.25">
      <c r="A477" s="199"/>
      <c r="B477" s="199"/>
      <c r="C477" s="199"/>
      <c r="D477" s="199"/>
      <c r="E477" s="199"/>
      <c r="F477" s="199"/>
      <c r="G477" s="199"/>
      <c r="H477" s="203"/>
      <c r="I477" s="199"/>
      <c r="J477" s="199"/>
      <c r="K477" s="199"/>
      <c r="L477" s="199"/>
      <c r="M477" s="199"/>
      <c r="N477" s="199"/>
      <c r="O477" s="199"/>
      <c r="P477" s="199"/>
      <c r="Q477" s="199"/>
    </row>
    <row r="478" spans="1:17" x14ac:dyDescent="0.25">
      <c r="A478" s="199"/>
      <c r="B478" s="199"/>
      <c r="C478" s="199"/>
      <c r="D478" s="199"/>
      <c r="E478" s="199"/>
      <c r="F478" s="199"/>
      <c r="G478" s="199"/>
      <c r="H478" s="203"/>
      <c r="I478" s="199"/>
      <c r="J478" s="199"/>
      <c r="K478" s="199"/>
      <c r="L478" s="199"/>
      <c r="M478" s="199"/>
      <c r="N478" s="199"/>
      <c r="O478" s="199"/>
      <c r="P478" s="199"/>
      <c r="Q478" s="199"/>
    </row>
    <row r="479" spans="1:17" x14ac:dyDescent="0.25">
      <c r="A479" s="199"/>
      <c r="B479" s="199"/>
      <c r="C479" s="199"/>
      <c r="D479" s="199"/>
      <c r="E479" s="199"/>
      <c r="F479" s="199"/>
      <c r="G479" s="199"/>
      <c r="H479" s="203"/>
      <c r="I479" s="199"/>
      <c r="J479" s="199"/>
      <c r="K479" s="199"/>
      <c r="L479" s="199"/>
      <c r="M479" s="199"/>
      <c r="N479" s="199"/>
      <c r="O479" s="199"/>
      <c r="P479" s="199"/>
      <c r="Q479" s="199"/>
    </row>
    <row r="480" spans="1:17" x14ac:dyDescent="0.25">
      <c r="A480" s="199"/>
      <c r="B480" s="199"/>
      <c r="C480" s="199"/>
      <c r="D480" s="199"/>
      <c r="E480" s="199"/>
      <c r="F480" s="199"/>
      <c r="G480" s="199"/>
      <c r="H480" s="203"/>
      <c r="I480" s="199"/>
      <c r="J480" s="199"/>
      <c r="K480" s="199"/>
      <c r="L480" s="199"/>
      <c r="M480" s="199"/>
      <c r="N480" s="199"/>
      <c r="O480" s="199"/>
      <c r="P480" s="199"/>
      <c r="Q480" s="199"/>
    </row>
    <row r="481" spans="1:17" x14ac:dyDescent="0.25">
      <c r="A481" s="199"/>
      <c r="B481" s="199"/>
      <c r="C481" s="199"/>
      <c r="D481" s="199"/>
      <c r="E481" s="199"/>
      <c r="F481" s="199"/>
      <c r="G481" s="199"/>
      <c r="H481" s="203"/>
      <c r="I481" s="199"/>
      <c r="J481" s="199"/>
      <c r="K481" s="199"/>
      <c r="L481" s="199"/>
      <c r="M481" s="199"/>
      <c r="N481" s="199"/>
      <c r="O481" s="199"/>
      <c r="P481" s="199"/>
      <c r="Q481" s="199"/>
    </row>
    <row r="482" spans="1:17" x14ac:dyDescent="0.25">
      <c r="A482" s="199"/>
      <c r="B482" s="199"/>
      <c r="C482" s="199"/>
      <c r="D482" s="199"/>
      <c r="E482" s="199"/>
      <c r="F482" s="199"/>
      <c r="G482" s="199"/>
      <c r="H482" s="203"/>
      <c r="I482" s="199"/>
      <c r="J482" s="199"/>
      <c r="K482" s="199"/>
      <c r="L482" s="199"/>
      <c r="M482" s="199"/>
      <c r="N482" s="199"/>
      <c r="O482" s="199"/>
      <c r="P482" s="199"/>
      <c r="Q482" s="199"/>
    </row>
    <row r="483" spans="1:17" x14ac:dyDescent="0.25">
      <c r="A483" s="199"/>
      <c r="B483" s="199"/>
      <c r="C483" s="199"/>
      <c r="D483" s="199"/>
      <c r="E483" s="199"/>
      <c r="F483" s="199"/>
      <c r="G483" s="199"/>
      <c r="H483" s="203"/>
      <c r="I483" s="199"/>
      <c r="J483" s="199"/>
      <c r="K483" s="199"/>
      <c r="L483" s="199"/>
      <c r="M483" s="199"/>
      <c r="N483" s="199"/>
      <c r="O483" s="199"/>
      <c r="P483" s="199"/>
      <c r="Q483" s="199"/>
    </row>
    <row r="484" spans="1:17" x14ac:dyDescent="0.25">
      <c r="A484" s="199"/>
      <c r="B484" s="199"/>
      <c r="C484" s="199"/>
      <c r="D484" s="199"/>
      <c r="E484" s="199"/>
      <c r="F484" s="199"/>
      <c r="G484" s="199"/>
      <c r="H484" s="203"/>
      <c r="I484" s="199"/>
      <c r="J484" s="199"/>
      <c r="K484" s="199"/>
      <c r="L484" s="199"/>
      <c r="M484" s="199"/>
      <c r="N484" s="199"/>
      <c r="O484" s="199"/>
      <c r="P484" s="199"/>
      <c r="Q484" s="199"/>
    </row>
    <row r="485" spans="1:17" x14ac:dyDescent="0.25">
      <c r="A485" s="199"/>
      <c r="B485" s="199"/>
      <c r="C485" s="199"/>
      <c r="D485" s="199"/>
      <c r="E485" s="199"/>
      <c r="F485" s="199"/>
      <c r="G485" s="199"/>
      <c r="H485" s="203"/>
      <c r="I485" s="199"/>
      <c r="J485" s="199"/>
      <c r="K485" s="199"/>
      <c r="L485" s="199"/>
      <c r="M485" s="199"/>
      <c r="N485" s="199"/>
      <c r="O485" s="199"/>
      <c r="P485" s="199"/>
      <c r="Q485" s="199"/>
    </row>
    <row r="486" spans="1:17" x14ac:dyDescent="0.25">
      <c r="A486" s="199"/>
      <c r="B486" s="199"/>
      <c r="C486" s="199"/>
      <c r="D486" s="199"/>
      <c r="E486" s="199"/>
      <c r="F486" s="199"/>
      <c r="G486" s="199"/>
      <c r="H486" s="203"/>
      <c r="I486" s="199"/>
      <c r="J486" s="199"/>
      <c r="K486" s="199"/>
      <c r="L486" s="199"/>
      <c r="M486" s="199"/>
      <c r="N486" s="199"/>
      <c r="O486" s="199"/>
      <c r="P486" s="199"/>
      <c r="Q486" s="199"/>
    </row>
    <row r="487" spans="1:17" x14ac:dyDescent="0.25">
      <c r="A487" s="199"/>
      <c r="B487" s="199"/>
      <c r="C487" s="199"/>
      <c r="D487" s="199"/>
      <c r="E487" s="199"/>
      <c r="F487" s="199"/>
      <c r="G487" s="199"/>
      <c r="H487" s="203"/>
      <c r="I487" s="199"/>
      <c r="J487" s="199"/>
      <c r="K487" s="199"/>
      <c r="L487" s="199"/>
      <c r="M487" s="199"/>
      <c r="N487" s="199"/>
      <c r="O487" s="199"/>
      <c r="P487" s="199"/>
      <c r="Q487" s="199"/>
    </row>
    <row r="488" spans="1:17" x14ac:dyDescent="0.25">
      <c r="A488" s="199"/>
      <c r="B488" s="199"/>
      <c r="C488" s="199"/>
      <c r="D488" s="199"/>
      <c r="E488" s="199"/>
      <c r="F488" s="199"/>
      <c r="G488" s="199"/>
      <c r="H488" s="203"/>
      <c r="I488" s="199"/>
      <c r="J488" s="199"/>
      <c r="K488" s="199"/>
      <c r="L488" s="199"/>
      <c r="M488" s="199"/>
      <c r="N488" s="199"/>
      <c r="O488" s="199"/>
      <c r="P488" s="199"/>
      <c r="Q488" s="199"/>
    </row>
    <row r="489" spans="1:17" x14ac:dyDescent="0.25">
      <c r="A489" s="199"/>
      <c r="B489" s="199"/>
      <c r="C489" s="199"/>
      <c r="D489" s="199"/>
      <c r="E489" s="199"/>
      <c r="F489" s="199"/>
      <c r="G489" s="199"/>
      <c r="H489" s="203"/>
      <c r="I489" s="199"/>
      <c r="J489" s="199"/>
      <c r="K489" s="199"/>
      <c r="L489" s="199"/>
      <c r="M489" s="199"/>
      <c r="N489" s="199"/>
      <c r="O489" s="199"/>
      <c r="P489" s="199"/>
      <c r="Q489" s="199"/>
    </row>
    <row r="490" spans="1:17" x14ac:dyDescent="0.25">
      <c r="A490" s="199"/>
      <c r="B490" s="199"/>
      <c r="C490" s="199"/>
      <c r="D490" s="199"/>
      <c r="E490" s="199"/>
      <c r="F490" s="199"/>
      <c r="G490" s="199"/>
      <c r="H490" s="203"/>
      <c r="I490" s="199"/>
      <c r="J490" s="199"/>
      <c r="K490" s="199"/>
      <c r="L490" s="199"/>
      <c r="M490" s="199"/>
      <c r="N490" s="199"/>
      <c r="O490" s="199"/>
      <c r="P490" s="199"/>
      <c r="Q490" s="199"/>
    </row>
    <row r="491" spans="1:17" x14ac:dyDescent="0.25">
      <c r="A491" s="199"/>
      <c r="B491" s="199"/>
      <c r="C491" s="199"/>
      <c r="D491" s="199"/>
      <c r="E491" s="199"/>
      <c r="F491" s="199"/>
      <c r="G491" s="199"/>
      <c r="H491" s="203"/>
      <c r="I491" s="199"/>
      <c r="J491" s="199"/>
      <c r="K491" s="199"/>
      <c r="L491" s="199"/>
      <c r="M491" s="199"/>
      <c r="N491" s="199"/>
      <c r="O491" s="199"/>
      <c r="P491" s="199"/>
      <c r="Q491" s="199"/>
    </row>
    <row r="492" spans="1:17" x14ac:dyDescent="0.25">
      <c r="A492" s="199"/>
      <c r="B492" s="199"/>
      <c r="C492" s="199"/>
      <c r="D492" s="199"/>
      <c r="E492" s="199"/>
      <c r="F492" s="199"/>
      <c r="G492" s="199"/>
      <c r="H492" s="203"/>
      <c r="I492" s="199"/>
      <c r="J492" s="199"/>
      <c r="K492" s="199"/>
      <c r="L492" s="199"/>
      <c r="M492" s="199"/>
      <c r="N492" s="199"/>
      <c r="O492" s="199"/>
      <c r="P492" s="199"/>
      <c r="Q492" s="199"/>
    </row>
    <row r="493" spans="1:17" x14ac:dyDescent="0.25">
      <c r="A493" s="199"/>
      <c r="B493" s="199"/>
      <c r="C493" s="199"/>
      <c r="D493" s="199"/>
      <c r="E493" s="199"/>
      <c r="F493" s="199"/>
      <c r="G493" s="199"/>
      <c r="H493" s="203"/>
      <c r="I493" s="199"/>
      <c r="J493" s="199"/>
      <c r="K493" s="199"/>
      <c r="L493" s="199"/>
      <c r="M493" s="199"/>
      <c r="N493" s="199"/>
      <c r="O493" s="199"/>
      <c r="P493" s="199"/>
      <c r="Q493" s="199"/>
    </row>
    <row r="494" spans="1:17" x14ac:dyDescent="0.25">
      <c r="A494" s="199"/>
      <c r="B494" s="199"/>
      <c r="C494" s="199"/>
      <c r="D494" s="199"/>
      <c r="E494" s="199"/>
      <c r="F494" s="199"/>
      <c r="G494" s="199"/>
      <c r="H494" s="203"/>
      <c r="I494" s="199"/>
      <c r="J494" s="199"/>
      <c r="K494" s="199"/>
      <c r="L494" s="199"/>
      <c r="M494" s="199"/>
      <c r="N494" s="199"/>
      <c r="O494" s="199"/>
      <c r="P494" s="199"/>
      <c r="Q494" s="199"/>
    </row>
    <row r="495" spans="1:17" x14ac:dyDescent="0.25">
      <c r="A495" s="199"/>
      <c r="B495" s="199"/>
      <c r="C495" s="199"/>
      <c r="D495" s="199"/>
      <c r="E495" s="199"/>
      <c r="F495" s="199"/>
      <c r="G495" s="199"/>
      <c r="H495" s="203"/>
      <c r="I495" s="199"/>
      <c r="J495" s="199"/>
      <c r="K495" s="199"/>
      <c r="L495" s="199"/>
      <c r="M495" s="199"/>
      <c r="N495" s="199"/>
      <c r="O495" s="199"/>
      <c r="P495" s="199"/>
      <c r="Q495" s="199"/>
    </row>
    <row r="496" spans="1:17" x14ac:dyDescent="0.25">
      <c r="A496" s="199"/>
      <c r="B496" s="199"/>
      <c r="C496" s="199"/>
      <c r="D496" s="199"/>
      <c r="E496" s="199"/>
      <c r="F496" s="199"/>
      <c r="G496" s="199"/>
      <c r="H496" s="203"/>
      <c r="I496" s="199"/>
      <c r="J496" s="199"/>
      <c r="K496" s="199"/>
      <c r="L496" s="199"/>
      <c r="M496" s="199"/>
      <c r="N496" s="199"/>
      <c r="O496" s="199"/>
      <c r="P496" s="199"/>
      <c r="Q496" s="199"/>
    </row>
    <row r="497" spans="1:17" x14ac:dyDescent="0.25">
      <c r="A497" s="199"/>
      <c r="B497" s="199"/>
      <c r="C497" s="199"/>
      <c r="D497" s="199"/>
      <c r="E497" s="199"/>
      <c r="F497" s="199"/>
      <c r="G497" s="199"/>
      <c r="H497" s="203"/>
      <c r="I497" s="199"/>
      <c r="J497" s="199"/>
      <c r="K497" s="199"/>
      <c r="L497" s="199"/>
      <c r="M497" s="199"/>
      <c r="N497" s="199"/>
      <c r="O497" s="199"/>
      <c r="P497" s="199"/>
      <c r="Q497" s="199"/>
    </row>
    <row r="498" spans="1:17" x14ac:dyDescent="0.25">
      <c r="A498" s="199"/>
      <c r="B498" s="199"/>
      <c r="C498" s="199"/>
      <c r="D498" s="199"/>
      <c r="E498" s="199"/>
      <c r="F498" s="199"/>
      <c r="G498" s="199"/>
      <c r="H498" s="203"/>
      <c r="I498" s="199"/>
      <c r="J498" s="199"/>
      <c r="K498" s="199"/>
      <c r="L498" s="199"/>
      <c r="M498" s="199"/>
      <c r="N498" s="199"/>
      <c r="O498" s="199"/>
      <c r="P498" s="199"/>
      <c r="Q498" s="199"/>
    </row>
    <row r="499" spans="1:17" x14ac:dyDescent="0.25">
      <c r="A499" s="199"/>
      <c r="B499" s="199"/>
      <c r="C499" s="199"/>
      <c r="D499" s="199"/>
      <c r="E499" s="199"/>
      <c r="F499" s="199"/>
      <c r="G499" s="199"/>
      <c r="H499" s="203"/>
      <c r="I499" s="199"/>
      <c r="J499" s="199"/>
      <c r="K499" s="199"/>
      <c r="L499" s="199"/>
      <c r="M499" s="199"/>
      <c r="N499" s="199"/>
      <c r="O499" s="199"/>
      <c r="P499" s="199"/>
      <c r="Q499" s="199"/>
    </row>
    <row r="500" spans="1:17" x14ac:dyDescent="0.25">
      <c r="A500" s="199"/>
      <c r="B500" s="199"/>
      <c r="C500" s="199"/>
      <c r="D500" s="199"/>
      <c r="E500" s="199"/>
      <c r="F500" s="199"/>
      <c r="G500" s="199"/>
      <c r="H500" s="203"/>
      <c r="I500" s="199"/>
      <c r="J500" s="199"/>
      <c r="K500" s="199"/>
      <c r="L500" s="199"/>
      <c r="M500" s="199"/>
      <c r="N500" s="199"/>
      <c r="O500" s="199"/>
      <c r="P500" s="199"/>
      <c r="Q500" s="199"/>
    </row>
    <row r="501" spans="1:17" x14ac:dyDescent="0.25">
      <c r="A501" s="199"/>
      <c r="B501" s="199"/>
      <c r="C501" s="199"/>
      <c r="D501" s="199"/>
      <c r="E501" s="199"/>
      <c r="F501" s="199"/>
      <c r="G501" s="199"/>
      <c r="H501" s="203"/>
      <c r="I501" s="199"/>
      <c r="J501" s="199"/>
      <c r="K501" s="199"/>
      <c r="L501" s="199"/>
      <c r="M501" s="199"/>
      <c r="N501" s="199"/>
      <c r="O501" s="199"/>
      <c r="P501" s="199"/>
      <c r="Q501" s="199"/>
    </row>
    <row r="502" spans="1:17" x14ac:dyDescent="0.25">
      <c r="A502" s="199"/>
      <c r="B502" s="199"/>
      <c r="C502" s="199"/>
      <c r="D502" s="199"/>
      <c r="E502" s="199"/>
      <c r="F502" s="199"/>
      <c r="G502" s="199"/>
      <c r="H502" s="203"/>
      <c r="I502" s="199"/>
      <c r="J502" s="199"/>
      <c r="K502" s="199"/>
      <c r="L502" s="199"/>
      <c r="M502" s="199"/>
      <c r="N502" s="199"/>
      <c r="O502" s="199"/>
      <c r="P502" s="199"/>
      <c r="Q502" s="199"/>
    </row>
    <row r="503" spans="1:17" x14ac:dyDescent="0.25">
      <c r="A503" s="199"/>
      <c r="B503" s="199"/>
      <c r="C503" s="199"/>
      <c r="D503" s="199"/>
      <c r="E503" s="199"/>
      <c r="F503" s="199"/>
      <c r="G503" s="199"/>
      <c r="H503" s="203"/>
      <c r="I503" s="199"/>
      <c r="J503" s="199"/>
      <c r="K503" s="199"/>
      <c r="L503" s="199"/>
      <c r="M503" s="199"/>
      <c r="N503" s="199"/>
      <c r="O503" s="199"/>
      <c r="P503" s="199"/>
      <c r="Q503" s="199"/>
    </row>
    <row r="504" spans="1:17" x14ac:dyDescent="0.25">
      <c r="A504" s="199"/>
      <c r="B504" s="199"/>
      <c r="C504" s="199"/>
      <c r="D504" s="199"/>
      <c r="E504" s="199"/>
      <c r="F504" s="199"/>
      <c r="G504" s="199"/>
      <c r="H504" s="203"/>
      <c r="I504" s="199"/>
      <c r="J504" s="199"/>
      <c r="K504" s="199"/>
      <c r="L504" s="199"/>
      <c r="M504" s="199"/>
      <c r="N504" s="199"/>
      <c r="O504" s="199"/>
      <c r="P504" s="199"/>
      <c r="Q504" s="199"/>
    </row>
    <row r="505" spans="1:17" x14ac:dyDescent="0.25">
      <c r="A505" s="199"/>
      <c r="B505" s="199"/>
      <c r="C505" s="199"/>
      <c r="D505" s="199"/>
      <c r="E505" s="199"/>
      <c r="F505" s="199"/>
      <c r="G505" s="199"/>
      <c r="H505" s="203"/>
      <c r="I505" s="199"/>
      <c r="J505" s="199"/>
      <c r="K505" s="199"/>
      <c r="L505" s="199"/>
      <c r="M505" s="199"/>
      <c r="N505" s="199"/>
      <c r="O505" s="199"/>
      <c r="P505" s="199"/>
      <c r="Q505" s="199"/>
    </row>
    <row r="506" spans="1:17" x14ac:dyDescent="0.25">
      <c r="A506" s="199"/>
      <c r="B506" s="199"/>
      <c r="C506" s="199"/>
      <c r="D506" s="199"/>
      <c r="E506" s="199"/>
      <c r="F506" s="199"/>
      <c r="G506" s="199"/>
      <c r="H506" s="203"/>
      <c r="I506" s="199"/>
      <c r="J506" s="199"/>
      <c r="K506" s="199"/>
      <c r="L506" s="199"/>
      <c r="M506" s="199"/>
      <c r="N506" s="199"/>
      <c r="O506" s="199"/>
      <c r="P506" s="199"/>
      <c r="Q506" s="199"/>
    </row>
    <row r="507" spans="1:17" x14ac:dyDescent="0.25">
      <c r="A507" s="199"/>
      <c r="B507" s="199"/>
      <c r="C507" s="199"/>
      <c r="D507" s="199"/>
      <c r="E507" s="199"/>
      <c r="F507" s="199"/>
      <c r="G507" s="199"/>
      <c r="H507" s="203"/>
      <c r="I507" s="199"/>
      <c r="J507" s="199"/>
      <c r="K507" s="199"/>
      <c r="L507" s="199"/>
      <c r="M507" s="199"/>
      <c r="N507" s="199"/>
      <c r="O507" s="199"/>
      <c r="P507" s="199"/>
      <c r="Q507" s="199"/>
    </row>
    <row r="508" spans="1:17" x14ac:dyDescent="0.25">
      <c r="A508" s="199"/>
      <c r="B508" s="199"/>
      <c r="C508" s="199"/>
      <c r="D508" s="199"/>
      <c r="E508" s="199"/>
      <c r="F508" s="199"/>
      <c r="G508" s="199"/>
      <c r="H508" s="203"/>
      <c r="I508" s="199"/>
      <c r="J508" s="199"/>
      <c r="K508" s="199"/>
      <c r="L508" s="199"/>
      <c r="M508" s="199"/>
      <c r="N508" s="199"/>
      <c r="O508" s="199"/>
      <c r="P508" s="199"/>
      <c r="Q508" s="199"/>
    </row>
    <row r="509" spans="1:17" x14ac:dyDescent="0.25">
      <c r="A509" s="199"/>
      <c r="B509" s="199"/>
      <c r="C509" s="199"/>
      <c r="D509" s="199"/>
      <c r="E509" s="199"/>
      <c r="F509" s="199"/>
      <c r="G509" s="199"/>
      <c r="H509" s="203"/>
      <c r="I509" s="199"/>
      <c r="J509" s="199"/>
      <c r="K509" s="199"/>
      <c r="L509" s="199"/>
      <c r="M509" s="199"/>
      <c r="N509" s="199"/>
      <c r="O509" s="199"/>
      <c r="P509" s="199"/>
      <c r="Q509" s="199"/>
    </row>
    <row r="510" spans="1:17" x14ac:dyDescent="0.25">
      <c r="A510" s="199"/>
      <c r="B510" s="199"/>
      <c r="C510" s="199"/>
      <c r="D510" s="199"/>
      <c r="E510" s="199"/>
      <c r="F510" s="199"/>
      <c r="G510" s="199"/>
      <c r="H510" s="203"/>
      <c r="I510" s="199"/>
      <c r="J510" s="199"/>
      <c r="K510" s="199"/>
      <c r="L510" s="199"/>
      <c r="M510" s="199"/>
      <c r="N510" s="199"/>
      <c r="O510" s="199"/>
      <c r="P510" s="199"/>
      <c r="Q510" s="199"/>
    </row>
    <row r="511" spans="1:17" x14ac:dyDescent="0.25">
      <c r="A511" s="199"/>
      <c r="B511" s="199"/>
      <c r="C511" s="199"/>
      <c r="D511" s="199"/>
      <c r="E511" s="199"/>
      <c r="F511" s="199"/>
      <c r="G511" s="199"/>
      <c r="H511" s="203"/>
      <c r="I511" s="199"/>
      <c r="J511" s="199"/>
      <c r="K511" s="199"/>
      <c r="L511" s="199"/>
      <c r="M511" s="199"/>
      <c r="N511" s="199"/>
      <c r="O511" s="199"/>
      <c r="P511" s="199"/>
      <c r="Q511" s="199"/>
    </row>
    <row r="512" spans="1:17" x14ac:dyDescent="0.25">
      <c r="A512" s="199"/>
      <c r="B512" s="199"/>
      <c r="C512" s="199"/>
      <c r="D512" s="199"/>
      <c r="E512" s="199"/>
      <c r="F512" s="199"/>
      <c r="G512" s="199"/>
      <c r="H512" s="203"/>
      <c r="I512" s="199"/>
      <c r="J512" s="199"/>
      <c r="K512" s="199"/>
      <c r="L512" s="199"/>
      <c r="M512" s="199"/>
      <c r="N512" s="199"/>
      <c r="O512" s="199"/>
      <c r="P512" s="199"/>
      <c r="Q512" s="199"/>
    </row>
    <row r="513" spans="1:17" x14ac:dyDescent="0.25">
      <c r="A513" s="199"/>
      <c r="B513" s="199"/>
      <c r="C513" s="199"/>
      <c r="D513" s="199"/>
      <c r="E513" s="199"/>
      <c r="F513" s="199"/>
      <c r="G513" s="199"/>
      <c r="H513" s="203"/>
      <c r="I513" s="199"/>
      <c r="J513" s="199"/>
      <c r="K513" s="199"/>
      <c r="L513" s="199"/>
      <c r="M513" s="199"/>
      <c r="N513" s="199"/>
      <c r="O513" s="199"/>
      <c r="P513" s="199"/>
      <c r="Q513" s="199"/>
    </row>
    <row r="514" spans="1:17" x14ac:dyDescent="0.25">
      <c r="A514" s="199"/>
      <c r="B514" s="199"/>
      <c r="C514" s="199"/>
      <c r="D514" s="199"/>
      <c r="E514" s="199"/>
      <c r="F514" s="199"/>
      <c r="G514" s="199"/>
      <c r="H514" s="203"/>
      <c r="I514" s="199"/>
      <c r="J514" s="199"/>
      <c r="K514" s="199"/>
      <c r="L514" s="199"/>
      <c r="M514" s="199"/>
      <c r="N514" s="199"/>
      <c r="O514" s="199"/>
      <c r="P514" s="199"/>
      <c r="Q514" s="199"/>
    </row>
    <row r="515" spans="1:17" x14ac:dyDescent="0.25">
      <c r="A515" s="199"/>
      <c r="B515" s="199"/>
      <c r="C515" s="199"/>
      <c r="D515" s="199"/>
      <c r="E515" s="199"/>
      <c r="F515" s="199"/>
      <c r="G515" s="199"/>
      <c r="H515" s="203"/>
      <c r="I515" s="199"/>
      <c r="J515" s="199"/>
      <c r="K515" s="199"/>
      <c r="L515" s="199"/>
      <c r="M515" s="199"/>
      <c r="N515" s="199"/>
      <c r="O515" s="199"/>
      <c r="P515" s="199"/>
      <c r="Q515" s="199"/>
    </row>
    <row r="516" spans="1:17" x14ac:dyDescent="0.25">
      <c r="A516" s="199"/>
      <c r="B516" s="199"/>
      <c r="C516" s="199"/>
      <c r="D516" s="199"/>
      <c r="E516" s="199"/>
      <c r="F516" s="199"/>
      <c r="G516" s="199"/>
      <c r="H516" s="203"/>
      <c r="I516" s="199"/>
      <c r="J516" s="199"/>
      <c r="K516" s="199"/>
      <c r="L516" s="199"/>
      <c r="M516" s="199"/>
      <c r="N516" s="199"/>
      <c r="O516" s="199"/>
      <c r="P516" s="199"/>
      <c r="Q516" s="199"/>
    </row>
    <row r="517" spans="1:17" x14ac:dyDescent="0.25">
      <c r="A517" s="199"/>
      <c r="B517" s="199"/>
      <c r="C517" s="199"/>
      <c r="D517" s="199"/>
      <c r="E517" s="199"/>
      <c r="F517" s="199"/>
      <c r="G517" s="199"/>
      <c r="H517" s="203"/>
      <c r="I517" s="199"/>
      <c r="J517" s="199"/>
      <c r="K517" s="199"/>
      <c r="L517" s="199"/>
      <c r="M517" s="199"/>
      <c r="N517" s="199"/>
      <c r="O517" s="199"/>
      <c r="P517" s="199"/>
      <c r="Q517" s="199"/>
    </row>
    <row r="518" spans="1:17" x14ac:dyDescent="0.25">
      <c r="A518" s="199"/>
      <c r="B518" s="199"/>
      <c r="C518" s="199"/>
      <c r="D518" s="199"/>
      <c r="E518" s="199"/>
      <c r="F518" s="199"/>
      <c r="G518" s="199"/>
      <c r="H518" s="203"/>
      <c r="I518" s="199"/>
      <c r="J518" s="199"/>
      <c r="K518" s="199"/>
      <c r="L518" s="199"/>
      <c r="M518" s="199"/>
      <c r="N518" s="199"/>
      <c r="O518" s="199"/>
      <c r="P518" s="199"/>
      <c r="Q518" s="199"/>
    </row>
    <row r="519" spans="1:17" x14ac:dyDescent="0.25">
      <c r="A519" s="199"/>
      <c r="B519" s="199"/>
      <c r="C519" s="199"/>
      <c r="D519" s="199"/>
      <c r="E519" s="199"/>
      <c r="F519" s="199"/>
      <c r="G519" s="199"/>
      <c r="H519" s="203"/>
      <c r="I519" s="199"/>
      <c r="J519" s="199"/>
      <c r="K519" s="199"/>
      <c r="L519" s="199"/>
      <c r="M519" s="199"/>
      <c r="N519" s="199"/>
      <c r="O519" s="199"/>
      <c r="P519" s="199"/>
      <c r="Q519" s="199"/>
    </row>
    <row r="520" spans="1:17" x14ac:dyDescent="0.25">
      <c r="A520" s="199"/>
      <c r="B520" s="199"/>
      <c r="C520" s="199"/>
      <c r="D520" s="199"/>
      <c r="E520" s="199"/>
      <c r="F520" s="199"/>
      <c r="G520" s="199"/>
      <c r="H520" s="203"/>
      <c r="I520" s="199"/>
      <c r="J520" s="199"/>
      <c r="K520" s="199"/>
      <c r="L520" s="199"/>
      <c r="M520" s="199"/>
      <c r="N520" s="199"/>
      <c r="O520" s="199"/>
      <c r="P520" s="199"/>
      <c r="Q520" s="199"/>
    </row>
    <row r="521" spans="1:17" x14ac:dyDescent="0.25">
      <c r="A521" s="199"/>
      <c r="B521" s="199"/>
      <c r="C521" s="199"/>
      <c r="D521" s="199"/>
      <c r="E521" s="199"/>
      <c r="F521" s="199"/>
      <c r="G521" s="199"/>
      <c r="H521" s="203"/>
      <c r="I521" s="199"/>
      <c r="J521" s="199"/>
      <c r="K521" s="199"/>
      <c r="L521" s="199"/>
      <c r="M521" s="199"/>
      <c r="N521" s="199"/>
      <c r="O521" s="199"/>
      <c r="P521" s="199"/>
      <c r="Q521" s="199"/>
    </row>
    <row r="522" spans="1:17" x14ac:dyDescent="0.25">
      <c r="A522" s="199"/>
      <c r="B522" s="199"/>
      <c r="C522" s="199"/>
      <c r="D522" s="199"/>
      <c r="E522" s="199"/>
      <c r="F522" s="199"/>
      <c r="G522" s="199"/>
      <c r="H522" s="203"/>
      <c r="I522" s="199"/>
      <c r="J522" s="199"/>
      <c r="K522" s="199"/>
      <c r="L522" s="199"/>
      <c r="M522" s="199"/>
      <c r="N522" s="199"/>
      <c r="O522" s="199"/>
      <c r="P522" s="199"/>
      <c r="Q522" s="199"/>
    </row>
    <row r="523" spans="1:17" x14ac:dyDescent="0.25">
      <c r="A523" s="199"/>
      <c r="B523" s="199"/>
      <c r="C523" s="199"/>
      <c r="D523" s="199"/>
      <c r="E523" s="199"/>
      <c r="F523" s="199"/>
      <c r="G523" s="199"/>
      <c r="H523" s="203"/>
      <c r="I523" s="199"/>
      <c r="J523" s="199"/>
      <c r="K523" s="199"/>
      <c r="L523" s="199"/>
      <c r="M523" s="199"/>
      <c r="N523" s="199"/>
      <c r="O523" s="199"/>
      <c r="P523" s="199"/>
      <c r="Q523" s="199"/>
    </row>
    <row r="524" spans="1:17" x14ac:dyDescent="0.25">
      <c r="A524" s="199"/>
      <c r="B524" s="199"/>
      <c r="C524" s="199"/>
      <c r="D524" s="199"/>
      <c r="E524" s="199"/>
      <c r="F524" s="199"/>
      <c r="G524" s="199"/>
      <c r="H524" s="203"/>
      <c r="I524" s="199"/>
      <c r="J524" s="199"/>
      <c r="K524" s="199"/>
      <c r="L524" s="199"/>
      <c r="M524" s="199"/>
      <c r="N524" s="199"/>
      <c r="O524" s="199"/>
      <c r="P524" s="199"/>
      <c r="Q524" s="199"/>
    </row>
    <row r="525" spans="1:17" x14ac:dyDescent="0.25">
      <c r="A525" s="199"/>
      <c r="B525" s="199"/>
      <c r="C525" s="199"/>
      <c r="D525" s="199"/>
      <c r="E525" s="199"/>
      <c r="F525" s="199"/>
      <c r="G525" s="199"/>
      <c r="H525" s="203"/>
      <c r="I525" s="199"/>
      <c r="J525" s="199"/>
      <c r="K525" s="199"/>
      <c r="L525" s="199"/>
      <c r="M525" s="199"/>
      <c r="N525" s="199"/>
      <c r="O525" s="199"/>
      <c r="P525" s="199"/>
      <c r="Q525" s="199"/>
    </row>
    <row r="526" spans="1:17" x14ac:dyDescent="0.25">
      <c r="A526" s="199"/>
      <c r="B526" s="199"/>
      <c r="C526" s="199"/>
      <c r="D526" s="199"/>
      <c r="E526" s="199"/>
      <c r="F526" s="199"/>
      <c r="G526" s="199"/>
      <c r="H526" s="203"/>
      <c r="I526" s="199"/>
      <c r="J526" s="199"/>
      <c r="K526" s="199"/>
      <c r="L526" s="199"/>
      <c r="M526" s="199"/>
      <c r="N526" s="199"/>
      <c r="O526" s="199"/>
      <c r="P526" s="199"/>
      <c r="Q526" s="199"/>
    </row>
    <row r="527" spans="1:17" x14ac:dyDescent="0.25">
      <c r="A527" s="199"/>
      <c r="B527" s="199"/>
      <c r="C527" s="199"/>
      <c r="D527" s="199"/>
      <c r="E527" s="199"/>
      <c r="F527" s="199"/>
      <c r="G527" s="199"/>
      <c r="H527" s="203"/>
      <c r="I527" s="199"/>
      <c r="J527" s="199"/>
      <c r="K527" s="199"/>
      <c r="L527" s="199"/>
      <c r="M527" s="199"/>
      <c r="N527" s="199"/>
      <c r="O527" s="199"/>
      <c r="P527" s="199"/>
      <c r="Q527" s="199"/>
    </row>
    <row r="528" spans="1:17" x14ac:dyDescent="0.25">
      <c r="A528" s="199"/>
      <c r="B528" s="199"/>
      <c r="C528" s="199"/>
      <c r="D528" s="199"/>
      <c r="E528" s="199"/>
      <c r="F528" s="199"/>
      <c r="G528" s="199"/>
      <c r="H528" s="203"/>
      <c r="I528" s="199"/>
      <c r="J528" s="199"/>
      <c r="K528" s="199"/>
      <c r="L528" s="199"/>
      <c r="M528" s="199"/>
      <c r="N528" s="199"/>
      <c r="O528" s="199"/>
      <c r="P528" s="199"/>
      <c r="Q528" s="199"/>
    </row>
    <row r="529" spans="1:17" x14ac:dyDescent="0.25">
      <c r="A529" s="199"/>
      <c r="B529" s="199"/>
      <c r="C529" s="199"/>
      <c r="D529" s="199"/>
      <c r="E529" s="199"/>
      <c r="F529" s="199"/>
      <c r="G529" s="199"/>
      <c r="H529" s="203"/>
      <c r="I529" s="199"/>
      <c r="J529" s="199"/>
      <c r="K529" s="199"/>
      <c r="L529" s="199"/>
      <c r="M529" s="199"/>
      <c r="N529" s="199"/>
      <c r="O529" s="199"/>
      <c r="P529" s="199"/>
      <c r="Q529" s="199"/>
    </row>
    <row r="530" spans="1:17" x14ac:dyDescent="0.25">
      <c r="A530" s="199"/>
      <c r="B530" s="199"/>
      <c r="C530" s="199"/>
      <c r="D530" s="199"/>
      <c r="E530" s="199"/>
      <c r="F530" s="199"/>
      <c r="G530" s="199"/>
      <c r="H530" s="203"/>
      <c r="I530" s="199"/>
      <c r="J530" s="199"/>
      <c r="K530" s="199"/>
      <c r="L530" s="199"/>
      <c r="M530" s="199"/>
      <c r="N530" s="199"/>
      <c r="O530" s="199"/>
      <c r="P530" s="199"/>
      <c r="Q530" s="199"/>
    </row>
    <row r="531" spans="1:17" x14ac:dyDescent="0.25">
      <c r="A531" s="199"/>
      <c r="B531" s="199"/>
      <c r="C531" s="199"/>
      <c r="D531" s="199"/>
      <c r="E531" s="199"/>
      <c r="F531" s="199"/>
      <c r="G531" s="199"/>
      <c r="H531" s="203"/>
      <c r="I531" s="199"/>
      <c r="J531" s="199"/>
      <c r="K531" s="199"/>
      <c r="L531" s="199"/>
      <c r="M531" s="199"/>
      <c r="N531" s="199"/>
      <c r="O531" s="199"/>
      <c r="P531" s="199"/>
      <c r="Q531" s="199"/>
    </row>
    <row r="532" spans="1:17" x14ac:dyDescent="0.25">
      <c r="A532" s="199"/>
      <c r="B532" s="199"/>
      <c r="C532" s="199"/>
      <c r="D532" s="199"/>
      <c r="E532" s="199"/>
      <c r="F532" s="199"/>
      <c r="G532" s="199"/>
      <c r="H532" s="203"/>
      <c r="I532" s="199"/>
      <c r="J532" s="199"/>
      <c r="K532" s="199"/>
      <c r="L532" s="199"/>
      <c r="M532" s="199"/>
      <c r="N532" s="199"/>
      <c r="O532" s="199"/>
      <c r="P532" s="199"/>
      <c r="Q532" s="199"/>
    </row>
    <row r="533" spans="1:17" x14ac:dyDescent="0.25">
      <c r="A533" s="199"/>
      <c r="B533" s="199"/>
      <c r="C533" s="199"/>
      <c r="D533" s="199"/>
      <c r="E533" s="199"/>
      <c r="F533" s="199"/>
      <c r="G533" s="199"/>
      <c r="H533" s="203"/>
      <c r="I533" s="199"/>
      <c r="J533" s="199"/>
      <c r="K533" s="199"/>
      <c r="L533" s="199"/>
      <c r="M533" s="199"/>
      <c r="N533" s="199"/>
      <c r="O533" s="199"/>
      <c r="P533" s="199"/>
      <c r="Q533" s="199"/>
    </row>
    <row r="534" spans="1:17" x14ac:dyDescent="0.25">
      <c r="A534" s="199"/>
      <c r="B534" s="199"/>
      <c r="C534" s="199"/>
      <c r="D534" s="199"/>
      <c r="E534" s="199"/>
      <c r="F534" s="199"/>
      <c r="G534" s="199"/>
      <c r="H534" s="203"/>
      <c r="I534" s="199"/>
      <c r="J534" s="199"/>
      <c r="K534" s="199"/>
      <c r="L534" s="199"/>
      <c r="M534" s="199"/>
      <c r="N534" s="199"/>
      <c r="O534" s="199"/>
      <c r="P534" s="199"/>
      <c r="Q534" s="199"/>
    </row>
    <row r="535" spans="1:17" x14ac:dyDescent="0.25">
      <c r="A535" s="199"/>
      <c r="B535" s="199"/>
      <c r="C535" s="199"/>
      <c r="D535" s="199"/>
      <c r="E535" s="199"/>
      <c r="F535" s="199"/>
      <c r="G535" s="199"/>
      <c r="H535" s="203"/>
      <c r="I535" s="199"/>
      <c r="J535" s="199"/>
      <c r="K535" s="199"/>
      <c r="L535" s="199"/>
      <c r="M535" s="199"/>
      <c r="N535" s="199"/>
      <c r="O535" s="199"/>
      <c r="P535" s="199"/>
      <c r="Q535" s="199"/>
    </row>
    <row r="536" spans="1:17" x14ac:dyDescent="0.25">
      <c r="A536" s="199"/>
      <c r="B536" s="199"/>
      <c r="C536" s="199"/>
      <c r="D536" s="199"/>
      <c r="E536" s="199"/>
      <c r="F536" s="199"/>
      <c r="G536" s="199"/>
      <c r="H536" s="203"/>
      <c r="I536" s="199"/>
      <c r="J536" s="199"/>
      <c r="K536" s="199"/>
      <c r="L536" s="199"/>
      <c r="M536" s="199"/>
      <c r="N536" s="199"/>
      <c r="O536" s="199"/>
      <c r="P536" s="199"/>
      <c r="Q536" s="199"/>
    </row>
    <row r="537" spans="1:17" x14ac:dyDescent="0.25">
      <c r="A537" s="199"/>
      <c r="B537" s="199"/>
      <c r="C537" s="199"/>
      <c r="D537" s="199"/>
      <c r="E537" s="199"/>
      <c r="F537" s="199"/>
      <c r="G537" s="199"/>
      <c r="H537" s="203"/>
      <c r="I537" s="199"/>
      <c r="J537" s="199"/>
      <c r="K537" s="199"/>
      <c r="L537" s="199"/>
      <c r="M537" s="199"/>
      <c r="N537" s="199"/>
      <c r="O537" s="199"/>
      <c r="P537" s="199"/>
      <c r="Q537" s="199"/>
    </row>
    <row r="538" spans="1:17" x14ac:dyDescent="0.25">
      <c r="A538" s="199"/>
      <c r="B538" s="199"/>
      <c r="C538" s="199"/>
      <c r="D538" s="199"/>
      <c r="E538" s="199"/>
      <c r="F538" s="199"/>
      <c r="G538" s="199"/>
      <c r="H538" s="203"/>
      <c r="I538" s="199"/>
      <c r="J538" s="199"/>
      <c r="K538" s="199"/>
      <c r="L538" s="199"/>
      <c r="M538" s="199"/>
      <c r="N538" s="199"/>
      <c r="O538" s="199"/>
      <c r="P538" s="199"/>
      <c r="Q538" s="199"/>
    </row>
    <row r="539" spans="1:17" x14ac:dyDescent="0.25">
      <c r="A539" s="199"/>
      <c r="B539" s="199"/>
      <c r="C539" s="199"/>
      <c r="D539" s="199"/>
      <c r="E539" s="199"/>
      <c r="F539" s="199"/>
      <c r="G539" s="199"/>
      <c r="H539" s="203"/>
      <c r="I539" s="199"/>
      <c r="J539" s="199"/>
      <c r="K539" s="199"/>
      <c r="L539" s="199"/>
      <c r="M539" s="199"/>
      <c r="N539" s="199"/>
      <c r="O539" s="199"/>
      <c r="P539" s="199"/>
      <c r="Q539" s="199"/>
    </row>
    <row r="540" spans="1:17" x14ac:dyDescent="0.25">
      <c r="A540" s="199"/>
      <c r="B540" s="199"/>
      <c r="C540" s="199"/>
      <c r="D540" s="199"/>
      <c r="E540" s="199"/>
      <c r="F540" s="199"/>
      <c r="G540" s="199"/>
      <c r="H540" s="203"/>
      <c r="I540" s="199"/>
      <c r="J540" s="199"/>
      <c r="K540" s="199"/>
      <c r="L540" s="199"/>
      <c r="M540" s="199"/>
      <c r="N540" s="199"/>
      <c r="O540" s="199"/>
      <c r="P540" s="199"/>
      <c r="Q540" s="199"/>
    </row>
    <row r="541" spans="1:17" x14ac:dyDescent="0.25">
      <c r="A541" s="199"/>
      <c r="B541" s="199"/>
      <c r="C541" s="199"/>
      <c r="D541" s="199"/>
      <c r="E541" s="199"/>
      <c r="F541" s="199"/>
      <c r="G541" s="199"/>
      <c r="H541" s="203"/>
      <c r="I541" s="199"/>
      <c r="J541" s="199"/>
      <c r="K541" s="199"/>
      <c r="L541" s="199"/>
      <c r="M541" s="199"/>
      <c r="N541" s="199"/>
      <c r="O541" s="199"/>
      <c r="P541" s="199"/>
      <c r="Q541" s="199"/>
    </row>
    <row r="542" spans="1:17" x14ac:dyDescent="0.25">
      <c r="A542" s="199"/>
      <c r="B542" s="199"/>
      <c r="C542" s="199"/>
      <c r="D542" s="199"/>
      <c r="E542" s="199"/>
      <c r="F542" s="199"/>
      <c r="G542" s="199"/>
      <c r="H542" s="203"/>
      <c r="I542" s="199"/>
      <c r="J542" s="199"/>
      <c r="K542" s="199"/>
      <c r="L542" s="199"/>
      <c r="M542" s="199"/>
      <c r="N542" s="199"/>
      <c r="O542" s="199"/>
      <c r="P542" s="199"/>
      <c r="Q542" s="199"/>
    </row>
    <row r="543" spans="1:17" x14ac:dyDescent="0.25">
      <c r="A543" s="199"/>
      <c r="B543" s="199"/>
      <c r="C543" s="199"/>
      <c r="D543" s="199"/>
      <c r="E543" s="199"/>
      <c r="F543" s="199"/>
      <c r="G543" s="199"/>
      <c r="H543" s="203"/>
      <c r="I543" s="199"/>
      <c r="J543" s="199"/>
      <c r="K543" s="199"/>
      <c r="L543" s="199"/>
      <c r="M543" s="199"/>
      <c r="N543" s="199"/>
      <c r="O543" s="199"/>
      <c r="P543" s="199"/>
      <c r="Q543" s="199"/>
    </row>
    <row r="544" spans="1:17" x14ac:dyDescent="0.25">
      <c r="A544" s="199"/>
      <c r="B544" s="199"/>
      <c r="C544" s="199"/>
      <c r="D544" s="199"/>
      <c r="E544" s="199"/>
      <c r="F544" s="199"/>
      <c r="G544" s="199"/>
      <c r="H544" s="203"/>
      <c r="I544" s="199"/>
      <c r="J544" s="199"/>
      <c r="K544" s="199"/>
      <c r="L544" s="199"/>
      <c r="M544" s="199"/>
      <c r="N544" s="199"/>
      <c r="O544" s="199"/>
      <c r="P544" s="199"/>
      <c r="Q544" s="199"/>
    </row>
    <row r="545" spans="1:17" x14ac:dyDescent="0.25">
      <c r="A545" s="199"/>
      <c r="B545" s="199"/>
      <c r="C545" s="199"/>
      <c r="D545" s="199"/>
      <c r="E545" s="199"/>
      <c r="F545" s="199"/>
      <c r="G545" s="199"/>
      <c r="H545" s="203"/>
      <c r="I545" s="199"/>
      <c r="J545" s="199"/>
      <c r="K545" s="199"/>
      <c r="L545" s="199"/>
      <c r="M545" s="199"/>
      <c r="N545" s="199"/>
      <c r="O545" s="199"/>
      <c r="P545" s="199"/>
      <c r="Q545" s="199"/>
    </row>
    <row r="546" spans="1:17" x14ac:dyDescent="0.25">
      <c r="A546" s="199"/>
      <c r="B546" s="199"/>
      <c r="C546" s="199"/>
      <c r="D546" s="199"/>
      <c r="E546" s="199"/>
      <c r="F546" s="199"/>
      <c r="G546" s="199"/>
      <c r="H546" s="203"/>
      <c r="I546" s="199"/>
      <c r="J546" s="199"/>
      <c r="K546" s="199"/>
      <c r="L546" s="199"/>
      <c r="M546" s="199"/>
      <c r="N546" s="199"/>
      <c r="O546" s="199"/>
      <c r="P546" s="199"/>
      <c r="Q546" s="199"/>
    </row>
    <row r="547" spans="1:17" x14ac:dyDescent="0.25">
      <c r="A547" s="199"/>
      <c r="B547" s="199"/>
      <c r="C547" s="199"/>
      <c r="D547" s="199"/>
      <c r="E547" s="199"/>
      <c r="F547" s="199"/>
      <c r="G547" s="199"/>
      <c r="H547" s="203"/>
      <c r="I547" s="199"/>
      <c r="J547" s="199"/>
      <c r="K547" s="199"/>
      <c r="L547" s="199"/>
      <c r="M547" s="199"/>
      <c r="N547" s="199"/>
      <c r="O547" s="199"/>
      <c r="P547" s="199"/>
      <c r="Q547" s="199"/>
    </row>
    <row r="548" spans="1:17" x14ac:dyDescent="0.25">
      <c r="A548" s="199"/>
      <c r="B548" s="199"/>
      <c r="C548" s="199"/>
      <c r="D548" s="199"/>
      <c r="E548" s="199"/>
      <c r="F548" s="199"/>
      <c r="G548" s="199"/>
      <c r="H548" s="203"/>
      <c r="I548" s="199"/>
      <c r="J548" s="199"/>
      <c r="K548" s="199"/>
      <c r="L548" s="199"/>
      <c r="M548" s="199"/>
      <c r="N548" s="199"/>
      <c r="O548" s="199"/>
      <c r="P548" s="199"/>
      <c r="Q548" s="199"/>
    </row>
    <row r="549" spans="1:17" x14ac:dyDescent="0.25">
      <c r="A549" s="199"/>
      <c r="B549" s="199"/>
      <c r="C549" s="199"/>
      <c r="D549" s="199"/>
      <c r="E549" s="199"/>
      <c r="F549" s="199"/>
      <c r="G549" s="199"/>
      <c r="H549" s="203"/>
      <c r="I549" s="199"/>
      <c r="J549" s="199"/>
      <c r="K549" s="199"/>
      <c r="L549" s="199"/>
      <c r="M549" s="199"/>
      <c r="N549" s="199"/>
      <c r="O549" s="199"/>
      <c r="P549" s="199"/>
      <c r="Q549" s="199"/>
    </row>
    <row r="550" spans="1:17" x14ac:dyDescent="0.25">
      <c r="A550" s="199"/>
      <c r="B550" s="199"/>
      <c r="C550" s="199"/>
      <c r="D550" s="199"/>
      <c r="E550" s="199"/>
      <c r="F550" s="199"/>
      <c r="G550" s="199"/>
      <c r="H550" s="203"/>
      <c r="I550" s="199"/>
      <c r="J550" s="199"/>
      <c r="K550" s="199"/>
      <c r="L550" s="199"/>
      <c r="M550" s="199"/>
      <c r="N550" s="199"/>
      <c r="O550" s="199"/>
      <c r="P550" s="199"/>
      <c r="Q550" s="199"/>
    </row>
    <row r="551" spans="1:17" x14ac:dyDescent="0.25">
      <c r="A551" s="199"/>
      <c r="B551" s="199"/>
      <c r="C551" s="199"/>
      <c r="D551" s="199"/>
      <c r="E551" s="199"/>
      <c r="F551" s="199"/>
      <c r="G551" s="199"/>
      <c r="H551" s="203"/>
      <c r="I551" s="199"/>
      <c r="J551" s="199"/>
      <c r="K551" s="199"/>
      <c r="L551" s="199"/>
      <c r="M551" s="199"/>
      <c r="N551" s="199"/>
      <c r="O551" s="199"/>
      <c r="P551" s="199"/>
      <c r="Q551" s="199"/>
    </row>
    <row r="552" spans="1:17" x14ac:dyDescent="0.25">
      <c r="A552" s="199"/>
      <c r="B552" s="199"/>
      <c r="C552" s="199"/>
      <c r="D552" s="199"/>
      <c r="E552" s="199"/>
      <c r="F552" s="199"/>
      <c r="G552" s="199"/>
      <c r="H552" s="203"/>
      <c r="I552" s="199"/>
      <c r="J552" s="199"/>
      <c r="K552" s="199"/>
      <c r="L552" s="199"/>
      <c r="M552" s="199"/>
      <c r="N552" s="199"/>
      <c r="O552" s="199"/>
      <c r="P552" s="199"/>
      <c r="Q552" s="199"/>
    </row>
    <row r="553" spans="1:17" x14ac:dyDescent="0.25">
      <c r="A553" s="199"/>
      <c r="B553" s="199"/>
      <c r="C553" s="199"/>
      <c r="D553" s="199"/>
      <c r="E553" s="199"/>
      <c r="F553" s="199"/>
      <c r="G553" s="199"/>
      <c r="H553" s="203"/>
      <c r="I553" s="199"/>
      <c r="J553" s="199"/>
      <c r="K553" s="199"/>
      <c r="L553" s="199"/>
      <c r="M553" s="199"/>
      <c r="N553" s="199"/>
      <c r="O553" s="199"/>
      <c r="P553" s="199"/>
      <c r="Q553" s="199"/>
    </row>
    <row r="554" spans="1:17" x14ac:dyDescent="0.25">
      <c r="A554" s="199"/>
      <c r="B554" s="199"/>
      <c r="C554" s="199"/>
      <c r="D554" s="199"/>
      <c r="E554" s="199"/>
      <c r="F554" s="199"/>
      <c r="G554" s="199"/>
      <c r="H554" s="203"/>
      <c r="I554" s="199"/>
      <c r="J554" s="199"/>
      <c r="K554" s="199"/>
      <c r="L554" s="199"/>
      <c r="M554" s="199"/>
      <c r="N554" s="199"/>
      <c r="O554" s="199"/>
      <c r="P554" s="199"/>
      <c r="Q554" s="199"/>
    </row>
    <row r="555" spans="1:17" x14ac:dyDescent="0.25">
      <c r="A555" s="199"/>
      <c r="B555" s="199"/>
      <c r="C555" s="199"/>
      <c r="D555" s="199"/>
      <c r="E555" s="199"/>
      <c r="F555" s="199"/>
      <c r="G555" s="199"/>
      <c r="H555" s="203"/>
      <c r="I555" s="199"/>
      <c r="J555" s="199"/>
      <c r="K555" s="199"/>
      <c r="L555" s="199"/>
      <c r="M555" s="199"/>
      <c r="N555" s="199"/>
      <c r="O555" s="199"/>
      <c r="P555" s="199"/>
      <c r="Q555" s="199"/>
    </row>
    <row r="556" spans="1:17" x14ac:dyDescent="0.25">
      <c r="A556" s="199"/>
      <c r="B556" s="199"/>
      <c r="C556" s="199"/>
      <c r="D556" s="199"/>
      <c r="E556" s="199"/>
      <c r="F556" s="199"/>
      <c r="G556" s="199"/>
      <c r="H556" s="203"/>
      <c r="I556" s="199"/>
      <c r="J556" s="199"/>
      <c r="K556" s="199"/>
      <c r="L556" s="199"/>
      <c r="M556" s="199"/>
      <c r="N556" s="199"/>
      <c r="O556" s="199"/>
      <c r="P556" s="199"/>
      <c r="Q556" s="199"/>
    </row>
    <row r="557" spans="1:17" x14ac:dyDescent="0.25">
      <c r="A557" s="199"/>
      <c r="B557" s="199"/>
      <c r="C557" s="199"/>
      <c r="D557" s="199"/>
      <c r="E557" s="199"/>
      <c r="F557" s="199"/>
      <c r="G557" s="199"/>
      <c r="H557" s="203"/>
      <c r="I557" s="199"/>
      <c r="J557" s="199"/>
      <c r="K557" s="199"/>
      <c r="L557" s="199"/>
      <c r="M557" s="199"/>
      <c r="N557" s="199"/>
      <c r="O557" s="199"/>
      <c r="P557" s="199"/>
      <c r="Q557" s="199"/>
    </row>
    <row r="558" spans="1:17" x14ac:dyDescent="0.25">
      <c r="A558" s="199"/>
      <c r="B558" s="199"/>
      <c r="C558" s="199"/>
      <c r="D558" s="199"/>
      <c r="E558" s="199"/>
      <c r="F558" s="199"/>
      <c r="G558" s="199"/>
      <c r="H558" s="203"/>
      <c r="I558" s="199"/>
      <c r="J558" s="199"/>
      <c r="K558" s="199"/>
      <c r="L558" s="199"/>
      <c r="M558" s="199"/>
      <c r="N558" s="199"/>
      <c r="O558" s="199"/>
      <c r="P558" s="199"/>
      <c r="Q558" s="199"/>
    </row>
    <row r="559" spans="1:17" x14ac:dyDescent="0.25">
      <c r="A559" s="199"/>
      <c r="B559" s="199"/>
      <c r="C559" s="199"/>
      <c r="D559" s="199"/>
      <c r="E559" s="199"/>
      <c r="F559" s="199"/>
      <c r="G559" s="199"/>
      <c r="H559" s="203"/>
      <c r="I559" s="199"/>
      <c r="J559" s="199"/>
      <c r="K559" s="199"/>
      <c r="L559" s="199"/>
      <c r="M559" s="199"/>
      <c r="N559" s="199"/>
      <c r="O559" s="199"/>
      <c r="P559" s="199"/>
      <c r="Q559" s="199"/>
    </row>
    <row r="560" spans="1:17" x14ac:dyDescent="0.25">
      <c r="A560" s="199"/>
      <c r="B560" s="199"/>
      <c r="C560" s="199"/>
      <c r="D560" s="199"/>
      <c r="E560" s="199"/>
      <c r="F560" s="199"/>
      <c r="G560" s="199"/>
      <c r="H560" s="203"/>
      <c r="I560" s="199"/>
      <c r="J560" s="199"/>
      <c r="K560" s="199"/>
      <c r="L560" s="199"/>
      <c r="M560" s="199"/>
      <c r="N560" s="199"/>
      <c r="O560" s="199"/>
      <c r="P560" s="199"/>
      <c r="Q560" s="199"/>
    </row>
    <row r="561" spans="1:17" x14ac:dyDescent="0.25">
      <c r="A561" s="199"/>
      <c r="B561" s="199"/>
      <c r="C561" s="199"/>
      <c r="D561" s="199"/>
      <c r="E561" s="199"/>
      <c r="F561" s="199"/>
      <c r="G561" s="199"/>
      <c r="H561" s="203"/>
      <c r="I561" s="199"/>
      <c r="J561" s="199"/>
      <c r="K561" s="199"/>
      <c r="L561" s="199"/>
      <c r="M561" s="199"/>
      <c r="N561" s="199"/>
      <c r="O561" s="199"/>
      <c r="P561" s="199"/>
      <c r="Q561" s="199"/>
    </row>
    <row r="562" spans="1:17" x14ac:dyDescent="0.25">
      <c r="A562" s="199"/>
      <c r="B562" s="199"/>
      <c r="C562" s="199"/>
      <c r="D562" s="199"/>
      <c r="E562" s="199"/>
      <c r="F562" s="199"/>
      <c r="G562" s="199"/>
      <c r="H562" s="203"/>
      <c r="I562" s="199"/>
      <c r="J562" s="199"/>
      <c r="K562" s="199"/>
      <c r="L562" s="199"/>
      <c r="M562" s="199"/>
      <c r="N562" s="199"/>
      <c r="O562" s="199"/>
      <c r="P562" s="199"/>
      <c r="Q562" s="199"/>
    </row>
    <row r="563" spans="1:17" x14ac:dyDescent="0.25">
      <c r="A563" s="199"/>
      <c r="B563" s="199"/>
      <c r="C563" s="199"/>
      <c r="D563" s="199"/>
      <c r="E563" s="199"/>
      <c r="F563" s="199"/>
      <c r="G563" s="199"/>
      <c r="H563" s="203"/>
      <c r="I563" s="199"/>
      <c r="J563" s="199"/>
      <c r="K563" s="199"/>
      <c r="L563" s="199"/>
      <c r="M563" s="199"/>
      <c r="N563" s="199"/>
      <c r="O563" s="199"/>
      <c r="P563" s="199"/>
      <c r="Q563" s="199"/>
    </row>
    <row r="564" spans="1:17" x14ac:dyDescent="0.25">
      <c r="A564" s="199"/>
      <c r="B564" s="199"/>
      <c r="C564" s="199"/>
      <c r="D564" s="199"/>
      <c r="E564" s="199"/>
      <c r="F564" s="199"/>
      <c r="G564" s="199"/>
      <c r="H564" s="203"/>
      <c r="I564" s="199"/>
      <c r="J564" s="199"/>
      <c r="K564" s="199"/>
      <c r="L564" s="199"/>
      <c r="M564" s="199"/>
      <c r="N564" s="199"/>
      <c r="O564" s="199"/>
      <c r="P564" s="199"/>
      <c r="Q564" s="199"/>
    </row>
    <row r="565" spans="1:17" x14ac:dyDescent="0.25">
      <c r="A565" s="199"/>
      <c r="B565" s="199"/>
      <c r="C565" s="199"/>
      <c r="D565" s="199"/>
      <c r="E565" s="199"/>
      <c r="F565" s="199"/>
      <c r="G565" s="199"/>
      <c r="H565" s="203"/>
      <c r="I565" s="199"/>
      <c r="J565" s="199"/>
      <c r="K565" s="199"/>
      <c r="L565" s="199"/>
      <c r="M565" s="199"/>
      <c r="N565" s="199"/>
      <c r="O565" s="199"/>
      <c r="P565" s="199"/>
      <c r="Q565" s="199"/>
    </row>
    <row r="566" spans="1:17" x14ac:dyDescent="0.25">
      <c r="A566" s="199"/>
      <c r="B566" s="199"/>
      <c r="C566" s="199"/>
      <c r="D566" s="199"/>
      <c r="E566" s="199"/>
      <c r="F566" s="199"/>
      <c r="G566" s="199"/>
      <c r="H566" s="203"/>
      <c r="I566" s="199"/>
      <c r="J566" s="199"/>
      <c r="K566" s="199"/>
      <c r="L566" s="199"/>
      <c r="M566" s="199"/>
      <c r="N566" s="199"/>
      <c r="O566" s="199"/>
      <c r="P566" s="199"/>
      <c r="Q566" s="199"/>
    </row>
    <row r="567" spans="1:17" x14ac:dyDescent="0.25">
      <c r="A567" s="199"/>
      <c r="B567" s="199"/>
      <c r="C567" s="199"/>
      <c r="D567" s="199"/>
      <c r="E567" s="199"/>
      <c r="F567" s="199"/>
      <c r="G567" s="199"/>
      <c r="H567" s="203"/>
      <c r="I567" s="199"/>
      <c r="J567" s="199"/>
      <c r="K567" s="199"/>
      <c r="L567" s="199"/>
      <c r="M567" s="199"/>
      <c r="N567" s="199"/>
      <c r="O567" s="199"/>
      <c r="P567" s="199"/>
      <c r="Q567" s="199"/>
    </row>
    <row r="568" spans="1:17" x14ac:dyDescent="0.25">
      <c r="A568" s="199"/>
      <c r="B568" s="199"/>
      <c r="C568" s="199"/>
      <c r="D568" s="199"/>
      <c r="E568" s="199"/>
      <c r="F568" s="199"/>
      <c r="G568" s="199"/>
      <c r="H568" s="203"/>
      <c r="I568" s="199"/>
      <c r="J568" s="199"/>
      <c r="K568" s="199"/>
      <c r="L568" s="199"/>
      <c r="M568" s="199"/>
      <c r="N568" s="199"/>
      <c r="O568" s="199"/>
      <c r="P568" s="199"/>
      <c r="Q568" s="199"/>
    </row>
    <row r="569" spans="1:17" x14ac:dyDescent="0.25">
      <c r="A569" s="199"/>
      <c r="B569" s="199"/>
      <c r="C569" s="199"/>
      <c r="D569" s="199"/>
      <c r="E569" s="199"/>
      <c r="F569" s="199"/>
      <c r="G569" s="199"/>
      <c r="H569" s="203"/>
      <c r="I569" s="199"/>
      <c r="J569" s="199"/>
      <c r="K569" s="199"/>
      <c r="L569" s="199"/>
      <c r="M569" s="199"/>
      <c r="N569" s="199"/>
      <c r="O569" s="199"/>
      <c r="P569" s="199"/>
      <c r="Q569" s="199"/>
    </row>
    <row r="570" spans="1:17" x14ac:dyDescent="0.25">
      <c r="A570" s="199"/>
      <c r="B570" s="199"/>
      <c r="C570" s="199"/>
      <c r="D570" s="199"/>
      <c r="E570" s="199"/>
      <c r="F570" s="199"/>
      <c r="G570" s="199"/>
      <c r="H570" s="203"/>
      <c r="I570" s="199"/>
      <c r="J570" s="199"/>
      <c r="K570" s="199"/>
      <c r="L570" s="199"/>
      <c r="M570" s="199"/>
      <c r="N570" s="199"/>
      <c r="O570" s="199"/>
      <c r="P570" s="199"/>
      <c r="Q570" s="199"/>
    </row>
    <row r="571" spans="1:17" x14ac:dyDescent="0.25">
      <c r="A571" s="199"/>
      <c r="B571" s="199"/>
      <c r="C571" s="199"/>
      <c r="D571" s="199"/>
      <c r="E571" s="199"/>
      <c r="F571" s="199"/>
      <c r="G571" s="199"/>
      <c r="H571" s="203"/>
      <c r="I571" s="199"/>
      <c r="J571" s="199"/>
      <c r="K571" s="199"/>
      <c r="L571" s="199"/>
      <c r="M571" s="199"/>
      <c r="N571" s="199"/>
      <c r="O571" s="199"/>
      <c r="P571" s="199"/>
      <c r="Q571" s="199"/>
    </row>
    <row r="572" spans="1:17" x14ac:dyDescent="0.25">
      <c r="A572" s="199"/>
      <c r="B572" s="199"/>
      <c r="C572" s="199"/>
      <c r="D572" s="199"/>
      <c r="E572" s="199"/>
      <c r="F572" s="199"/>
      <c r="G572" s="199"/>
      <c r="H572" s="203"/>
      <c r="I572" s="199"/>
      <c r="J572" s="199"/>
      <c r="K572" s="199"/>
      <c r="L572" s="199"/>
      <c r="M572" s="199"/>
      <c r="N572" s="199"/>
      <c r="O572" s="199"/>
      <c r="P572" s="199"/>
      <c r="Q572" s="199"/>
    </row>
    <row r="573" spans="1:17" x14ac:dyDescent="0.25">
      <c r="A573" s="199"/>
      <c r="B573" s="199"/>
      <c r="C573" s="199"/>
      <c r="D573" s="199"/>
      <c r="E573" s="199"/>
      <c r="F573" s="199"/>
      <c r="G573" s="199"/>
      <c r="H573" s="203"/>
      <c r="I573" s="199"/>
      <c r="J573" s="199"/>
      <c r="K573" s="199"/>
      <c r="L573" s="199"/>
      <c r="M573" s="199"/>
      <c r="N573" s="199"/>
      <c r="O573" s="199"/>
      <c r="P573" s="199"/>
      <c r="Q573" s="199"/>
    </row>
    <row r="574" spans="1:17" x14ac:dyDescent="0.25">
      <c r="A574" s="199"/>
      <c r="B574" s="199"/>
      <c r="C574" s="199"/>
      <c r="D574" s="199"/>
      <c r="E574" s="199"/>
      <c r="F574" s="199"/>
      <c r="G574" s="199"/>
      <c r="H574" s="203"/>
      <c r="I574" s="199"/>
      <c r="J574" s="199"/>
      <c r="K574" s="199"/>
      <c r="L574" s="199"/>
      <c r="M574" s="199"/>
      <c r="N574" s="199"/>
      <c r="O574" s="199"/>
      <c r="P574" s="199"/>
      <c r="Q574" s="199"/>
    </row>
    <row r="575" spans="1:17" x14ac:dyDescent="0.25">
      <c r="A575" s="199"/>
      <c r="B575" s="199"/>
      <c r="C575" s="199"/>
      <c r="D575" s="199"/>
      <c r="E575" s="199"/>
      <c r="F575" s="199"/>
      <c r="G575" s="199"/>
      <c r="H575" s="203"/>
      <c r="I575" s="199"/>
      <c r="J575" s="199"/>
      <c r="K575" s="199"/>
      <c r="L575" s="199"/>
      <c r="M575" s="199"/>
      <c r="N575" s="199"/>
      <c r="O575" s="199"/>
      <c r="P575" s="199"/>
      <c r="Q575" s="199"/>
    </row>
    <row r="576" spans="1:17" x14ac:dyDescent="0.25">
      <c r="A576" s="199"/>
      <c r="B576" s="199"/>
      <c r="C576" s="199"/>
      <c r="D576" s="199"/>
      <c r="E576" s="199"/>
      <c r="F576" s="199"/>
      <c r="G576" s="199"/>
      <c r="H576" s="203"/>
      <c r="I576" s="199"/>
      <c r="J576" s="199"/>
      <c r="K576" s="199"/>
      <c r="L576" s="199"/>
      <c r="M576" s="199"/>
      <c r="N576" s="199"/>
      <c r="O576" s="199"/>
      <c r="P576" s="199"/>
      <c r="Q576" s="199"/>
    </row>
    <row r="577" spans="1:17" x14ac:dyDescent="0.25">
      <c r="A577" s="199"/>
      <c r="B577" s="199"/>
      <c r="C577" s="199"/>
      <c r="D577" s="199"/>
      <c r="E577" s="199"/>
      <c r="F577" s="199"/>
      <c r="G577" s="199"/>
      <c r="H577" s="203"/>
      <c r="I577" s="199"/>
      <c r="J577" s="199"/>
      <c r="K577" s="199"/>
      <c r="L577" s="199"/>
      <c r="M577" s="199"/>
      <c r="N577" s="199"/>
      <c r="O577" s="199"/>
      <c r="P577" s="199"/>
      <c r="Q577" s="199"/>
    </row>
    <row r="578" spans="1:17" x14ac:dyDescent="0.25">
      <c r="A578" s="199"/>
      <c r="B578" s="199"/>
      <c r="C578" s="199"/>
      <c r="D578" s="199"/>
      <c r="E578" s="199"/>
      <c r="F578" s="199"/>
      <c r="G578" s="199"/>
      <c r="H578" s="203"/>
      <c r="I578" s="199"/>
      <c r="J578" s="199"/>
      <c r="K578" s="199"/>
      <c r="L578" s="199"/>
      <c r="M578" s="199"/>
      <c r="N578" s="199"/>
      <c r="O578" s="199"/>
      <c r="P578" s="199"/>
      <c r="Q578" s="199"/>
    </row>
    <row r="579" spans="1:17" x14ac:dyDescent="0.25">
      <c r="A579" s="199"/>
      <c r="B579" s="199"/>
      <c r="C579" s="199"/>
      <c r="D579" s="199"/>
      <c r="E579" s="199"/>
      <c r="F579" s="199"/>
      <c r="G579" s="199"/>
      <c r="H579" s="203"/>
      <c r="I579" s="199"/>
      <c r="J579" s="199"/>
      <c r="K579" s="199"/>
      <c r="L579" s="199"/>
      <c r="M579" s="199"/>
      <c r="N579" s="199"/>
      <c r="O579" s="199"/>
      <c r="P579" s="199"/>
      <c r="Q579" s="199"/>
    </row>
    <row r="580" spans="1:17" x14ac:dyDescent="0.25">
      <c r="A580" s="199"/>
      <c r="B580" s="199"/>
      <c r="C580" s="199"/>
      <c r="D580" s="199"/>
      <c r="E580" s="199"/>
      <c r="F580" s="199"/>
      <c r="G580" s="199"/>
      <c r="H580" s="203"/>
      <c r="I580" s="199"/>
      <c r="J580" s="199"/>
      <c r="K580" s="199"/>
      <c r="L580" s="199"/>
      <c r="M580" s="199"/>
      <c r="N580" s="199"/>
      <c r="O580" s="199"/>
      <c r="P580" s="199"/>
      <c r="Q580" s="199"/>
    </row>
    <row r="581" spans="1:17" x14ac:dyDescent="0.25">
      <c r="A581" s="199"/>
      <c r="B581" s="199"/>
      <c r="C581" s="199"/>
      <c r="D581" s="199"/>
      <c r="E581" s="199"/>
      <c r="F581" s="199"/>
      <c r="G581" s="199"/>
      <c r="H581" s="203"/>
      <c r="I581" s="199"/>
      <c r="J581" s="199"/>
      <c r="K581" s="199"/>
      <c r="L581" s="199"/>
      <c r="M581" s="199"/>
      <c r="N581" s="199"/>
      <c r="O581" s="199"/>
      <c r="P581" s="199"/>
      <c r="Q581" s="199"/>
    </row>
    <row r="582" spans="1:17" x14ac:dyDescent="0.25">
      <c r="A582" s="199"/>
      <c r="B582" s="199"/>
      <c r="C582" s="199"/>
      <c r="D582" s="199"/>
      <c r="E582" s="199"/>
      <c r="F582" s="199"/>
      <c r="G582" s="199"/>
      <c r="H582" s="203"/>
      <c r="I582" s="199"/>
      <c r="J582" s="199"/>
      <c r="K582" s="199"/>
      <c r="L582" s="199"/>
      <c r="M582" s="199"/>
      <c r="N582" s="199"/>
      <c r="O582" s="199"/>
      <c r="P582" s="199"/>
      <c r="Q582" s="199"/>
    </row>
    <row r="583" spans="1:17" x14ac:dyDescent="0.25">
      <c r="A583" s="199"/>
      <c r="B583" s="199"/>
      <c r="C583" s="199"/>
      <c r="D583" s="199"/>
      <c r="E583" s="199"/>
      <c r="F583" s="199"/>
      <c r="G583" s="199"/>
      <c r="H583" s="203"/>
      <c r="I583" s="199"/>
      <c r="J583" s="199"/>
      <c r="K583" s="199"/>
      <c r="L583" s="199"/>
      <c r="M583" s="199"/>
      <c r="N583" s="199"/>
      <c r="O583" s="199"/>
      <c r="P583" s="199"/>
      <c r="Q583" s="199"/>
    </row>
    <row r="584" spans="1:17" x14ac:dyDescent="0.25">
      <c r="A584" s="199"/>
      <c r="B584" s="199"/>
      <c r="C584" s="199"/>
      <c r="D584" s="199"/>
      <c r="E584" s="199"/>
      <c r="F584" s="199"/>
      <c r="G584" s="199"/>
      <c r="H584" s="203"/>
      <c r="I584" s="199"/>
      <c r="J584" s="199"/>
      <c r="K584" s="199"/>
      <c r="L584" s="199"/>
      <c r="M584" s="199"/>
      <c r="N584" s="199"/>
      <c r="O584" s="199"/>
      <c r="P584" s="199"/>
      <c r="Q584" s="199"/>
    </row>
    <row r="585" spans="1:17" x14ac:dyDescent="0.25">
      <c r="A585" s="199"/>
      <c r="B585" s="199"/>
      <c r="C585" s="199"/>
      <c r="D585" s="199"/>
      <c r="E585" s="199"/>
      <c r="F585" s="199"/>
      <c r="G585" s="199"/>
      <c r="H585" s="203"/>
      <c r="I585" s="199"/>
      <c r="J585" s="199"/>
      <c r="K585" s="199"/>
      <c r="L585" s="199"/>
      <c r="M585" s="199"/>
      <c r="N585" s="199"/>
      <c r="O585" s="199"/>
      <c r="P585" s="199"/>
      <c r="Q585" s="199"/>
    </row>
    <row r="586" spans="1:17" x14ac:dyDescent="0.25">
      <c r="A586" s="199"/>
      <c r="B586" s="199"/>
      <c r="C586" s="199"/>
      <c r="D586" s="199"/>
      <c r="E586" s="199"/>
      <c r="F586" s="199"/>
      <c r="G586" s="199"/>
      <c r="H586" s="203"/>
      <c r="I586" s="199"/>
      <c r="J586" s="199"/>
      <c r="K586" s="199"/>
      <c r="L586" s="199"/>
      <c r="M586" s="199"/>
      <c r="N586" s="199"/>
      <c r="O586" s="199"/>
      <c r="P586" s="199"/>
      <c r="Q586" s="199"/>
    </row>
    <row r="587" spans="1:17" x14ac:dyDescent="0.25">
      <c r="A587" s="199"/>
      <c r="B587" s="199"/>
      <c r="C587" s="199"/>
      <c r="D587" s="199"/>
      <c r="E587" s="199"/>
      <c r="F587" s="199"/>
      <c r="G587" s="199"/>
      <c r="H587" s="203"/>
      <c r="I587" s="199"/>
      <c r="J587" s="199"/>
      <c r="K587" s="199"/>
      <c r="L587" s="199"/>
      <c r="M587" s="199"/>
      <c r="N587" s="199"/>
      <c r="O587" s="199"/>
      <c r="P587" s="199"/>
      <c r="Q587" s="199"/>
    </row>
    <row r="588" spans="1:17" x14ac:dyDescent="0.25">
      <c r="A588" s="199"/>
      <c r="B588" s="199"/>
      <c r="C588" s="199"/>
      <c r="D588" s="199"/>
      <c r="E588" s="199"/>
      <c r="F588" s="199"/>
      <c r="G588" s="199"/>
      <c r="H588" s="203"/>
      <c r="I588" s="199"/>
      <c r="J588" s="199"/>
      <c r="K588" s="199"/>
      <c r="L588" s="199"/>
      <c r="M588" s="199"/>
      <c r="N588" s="199"/>
      <c r="O588" s="199"/>
      <c r="P588" s="199"/>
      <c r="Q588" s="199"/>
    </row>
    <row r="589" spans="1:17" x14ac:dyDescent="0.25">
      <c r="A589" s="199"/>
      <c r="B589" s="199"/>
      <c r="C589" s="199"/>
      <c r="D589" s="199"/>
      <c r="E589" s="199"/>
      <c r="F589" s="199"/>
      <c r="G589" s="199"/>
      <c r="H589" s="203"/>
      <c r="I589" s="199"/>
      <c r="J589" s="199"/>
      <c r="K589" s="199"/>
      <c r="L589" s="199"/>
      <c r="M589" s="199"/>
      <c r="N589" s="199"/>
      <c r="O589" s="199"/>
      <c r="P589" s="199"/>
      <c r="Q589" s="199"/>
    </row>
    <row r="590" spans="1:17" x14ac:dyDescent="0.25">
      <c r="A590" s="199"/>
      <c r="B590" s="199"/>
      <c r="C590" s="199"/>
      <c r="D590" s="199"/>
      <c r="E590" s="199"/>
      <c r="F590" s="199"/>
      <c r="G590" s="199"/>
      <c r="H590" s="203"/>
      <c r="I590" s="199"/>
      <c r="J590" s="199"/>
      <c r="K590" s="199"/>
      <c r="L590" s="199"/>
      <c r="M590" s="199"/>
      <c r="N590" s="199"/>
      <c r="O590" s="199"/>
      <c r="P590" s="199"/>
      <c r="Q590" s="199"/>
    </row>
    <row r="591" spans="1:17" x14ac:dyDescent="0.25">
      <c r="A591" s="199"/>
      <c r="B591" s="199"/>
      <c r="C591" s="199"/>
      <c r="D591" s="199"/>
      <c r="E591" s="199"/>
      <c r="F591" s="199"/>
      <c r="G591" s="199"/>
      <c r="H591" s="203"/>
      <c r="I591" s="199"/>
      <c r="J591" s="199"/>
      <c r="K591" s="199"/>
      <c r="L591" s="199"/>
      <c r="M591" s="199"/>
      <c r="N591" s="199"/>
      <c r="O591" s="199"/>
      <c r="P591" s="199"/>
      <c r="Q591" s="199"/>
    </row>
    <row r="592" spans="1:17" x14ac:dyDescent="0.25">
      <c r="A592" s="199"/>
      <c r="B592" s="199"/>
      <c r="C592" s="199"/>
      <c r="D592" s="199"/>
      <c r="E592" s="199"/>
      <c r="F592" s="199"/>
      <c r="G592" s="199"/>
      <c r="H592" s="203"/>
      <c r="I592" s="199"/>
      <c r="J592" s="199"/>
      <c r="K592" s="199"/>
      <c r="L592" s="199"/>
      <c r="M592" s="199"/>
      <c r="N592" s="199"/>
      <c r="O592" s="199"/>
      <c r="P592" s="199"/>
      <c r="Q592" s="199"/>
    </row>
    <row r="593" spans="1:17" x14ac:dyDescent="0.25">
      <c r="A593" s="199"/>
      <c r="B593" s="199"/>
      <c r="C593" s="199"/>
      <c r="D593" s="199"/>
      <c r="E593" s="199"/>
      <c r="F593" s="199"/>
      <c r="G593" s="199"/>
      <c r="H593" s="203"/>
      <c r="I593" s="199"/>
      <c r="J593" s="199"/>
      <c r="K593" s="199"/>
      <c r="L593" s="199"/>
      <c r="M593" s="199"/>
      <c r="N593" s="199"/>
      <c r="O593" s="199"/>
      <c r="P593" s="199"/>
      <c r="Q593" s="199"/>
    </row>
    <row r="594" spans="1:17" x14ac:dyDescent="0.25">
      <c r="A594" s="199"/>
      <c r="B594" s="199"/>
      <c r="C594" s="199"/>
      <c r="D594" s="199"/>
      <c r="E594" s="199"/>
      <c r="F594" s="199"/>
      <c r="G594" s="199"/>
      <c r="H594" s="203"/>
      <c r="I594" s="199"/>
      <c r="J594" s="199"/>
      <c r="K594" s="199"/>
      <c r="L594" s="199"/>
      <c r="M594" s="199"/>
      <c r="N594" s="199"/>
      <c r="O594" s="199"/>
      <c r="P594" s="199"/>
      <c r="Q594" s="199"/>
    </row>
    <row r="595" spans="1:17" x14ac:dyDescent="0.25">
      <c r="A595" s="199"/>
      <c r="B595" s="199"/>
      <c r="C595" s="199"/>
      <c r="D595" s="199"/>
      <c r="E595" s="199"/>
      <c r="F595" s="199"/>
      <c r="G595" s="199"/>
      <c r="H595" s="203"/>
      <c r="I595" s="199"/>
      <c r="J595" s="199"/>
      <c r="K595" s="199"/>
      <c r="L595" s="199"/>
      <c r="M595" s="199"/>
      <c r="N595" s="199"/>
      <c r="O595" s="199"/>
      <c r="P595" s="199"/>
      <c r="Q595" s="199"/>
    </row>
    <row r="596" spans="1:17" x14ac:dyDescent="0.25">
      <c r="A596" s="199"/>
      <c r="B596" s="199"/>
      <c r="C596" s="199"/>
      <c r="D596" s="199"/>
      <c r="E596" s="199"/>
      <c r="F596" s="199"/>
      <c r="G596" s="199"/>
      <c r="H596" s="203"/>
      <c r="I596" s="199"/>
      <c r="J596" s="199"/>
      <c r="K596" s="199"/>
      <c r="L596" s="199"/>
      <c r="M596" s="199"/>
      <c r="N596" s="199"/>
      <c r="O596" s="199"/>
      <c r="P596" s="199"/>
      <c r="Q596" s="199"/>
    </row>
    <row r="597" spans="1:17" x14ac:dyDescent="0.25">
      <c r="A597" s="199"/>
      <c r="B597" s="199"/>
      <c r="C597" s="199"/>
      <c r="D597" s="199"/>
      <c r="E597" s="199"/>
      <c r="F597" s="199"/>
      <c r="G597" s="199"/>
      <c r="H597" s="203"/>
      <c r="I597" s="199"/>
      <c r="J597" s="199"/>
      <c r="K597" s="199"/>
      <c r="L597" s="199"/>
      <c r="M597" s="199"/>
      <c r="N597" s="199"/>
      <c r="O597" s="199"/>
      <c r="P597" s="199"/>
      <c r="Q597" s="199"/>
    </row>
    <row r="598" spans="1:17" x14ac:dyDescent="0.25">
      <c r="A598" s="199"/>
      <c r="B598" s="199"/>
      <c r="C598" s="199"/>
      <c r="D598" s="199"/>
      <c r="E598" s="199"/>
      <c r="F598" s="199"/>
      <c r="G598" s="199"/>
      <c r="H598" s="203"/>
      <c r="I598" s="199"/>
      <c r="J598" s="199"/>
      <c r="K598" s="199"/>
      <c r="L598" s="199"/>
      <c r="M598" s="199"/>
      <c r="N598" s="199"/>
      <c r="O598" s="199"/>
      <c r="P598" s="199"/>
      <c r="Q598" s="199"/>
    </row>
    <row r="599" spans="1:17" x14ac:dyDescent="0.25">
      <c r="A599" s="199"/>
      <c r="B599" s="199"/>
      <c r="C599" s="199"/>
      <c r="D599" s="199"/>
      <c r="E599" s="199"/>
      <c r="F599" s="199"/>
      <c r="G599" s="199"/>
      <c r="H599" s="203"/>
      <c r="I599" s="199"/>
      <c r="J599" s="199"/>
      <c r="K599" s="199"/>
      <c r="L599" s="199"/>
      <c r="M599" s="199"/>
      <c r="N599" s="199"/>
      <c r="O599" s="199"/>
      <c r="P599" s="199"/>
      <c r="Q599" s="199"/>
    </row>
    <row r="600" spans="1:17" x14ac:dyDescent="0.25">
      <c r="A600" s="199"/>
      <c r="B600" s="199"/>
      <c r="C600" s="199"/>
      <c r="D600" s="199"/>
      <c r="E600" s="199"/>
      <c r="F600" s="199"/>
      <c r="G600" s="199"/>
      <c r="H600" s="203"/>
      <c r="I600" s="199"/>
      <c r="J600" s="199"/>
      <c r="K600" s="199"/>
      <c r="L600" s="199"/>
      <c r="M600" s="199"/>
      <c r="N600" s="199"/>
      <c r="O600" s="199"/>
      <c r="P600" s="199"/>
      <c r="Q600" s="199"/>
    </row>
    <row r="601" spans="1:17" x14ac:dyDescent="0.25">
      <c r="A601" s="199"/>
      <c r="B601" s="199"/>
      <c r="C601" s="199"/>
      <c r="D601" s="199"/>
      <c r="E601" s="199"/>
      <c r="F601" s="199"/>
      <c r="G601" s="199"/>
      <c r="H601" s="203"/>
      <c r="I601" s="199"/>
      <c r="J601" s="199"/>
      <c r="K601" s="199"/>
      <c r="L601" s="199"/>
      <c r="M601" s="199"/>
      <c r="N601" s="199"/>
      <c r="O601" s="199"/>
      <c r="P601" s="199"/>
      <c r="Q601" s="199"/>
    </row>
    <row r="602" spans="1:17" x14ac:dyDescent="0.25">
      <c r="A602" s="199"/>
      <c r="B602" s="199"/>
      <c r="C602" s="199"/>
      <c r="D602" s="199"/>
      <c r="E602" s="199"/>
      <c r="F602" s="199"/>
      <c r="G602" s="199"/>
      <c r="H602" s="203"/>
      <c r="I602" s="199"/>
      <c r="J602" s="199"/>
      <c r="K602" s="199"/>
      <c r="L602" s="199"/>
      <c r="M602" s="199"/>
      <c r="N602" s="199"/>
      <c r="O602" s="199"/>
      <c r="P602" s="199"/>
      <c r="Q602" s="199"/>
    </row>
    <row r="603" spans="1:17" x14ac:dyDescent="0.25">
      <c r="A603" s="199"/>
      <c r="B603" s="199"/>
      <c r="C603" s="199"/>
      <c r="D603" s="199"/>
      <c r="E603" s="199"/>
      <c r="F603" s="199"/>
      <c r="G603" s="199"/>
      <c r="H603" s="203"/>
      <c r="I603" s="199"/>
      <c r="J603" s="199"/>
      <c r="K603" s="199"/>
      <c r="L603" s="199"/>
      <c r="M603" s="199"/>
      <c r="N603" s="199"/>
      <c r="O603" s="199"/>
      <c r="P603" s="199"/>
      <c r="Q603" s="199"/>
    </row>
    <row r="604" spans="1:17" x14ac:dyDescent="0.25">
      <c r="A604" s="199"/>
      <c r="B604" s="199"/>
      <c r="C604" s="199"/>
      <c r="D604" s="199"/>
      <c r="E604" s="199"/>
      <c r="F604" s="199"/>
      <c r="G604" s="199"/>
      <c r="H604" s="203"/>
      <c r="I604" s="199"/>
      <c r="J604" s="199"/>
      <c r="K604" s="199"/>
      <c r="L604" s="199"/>
      <c r="M604" s="199"/>
      <c r="N604" s="199"/>
      <c r="O604" s="199"/>
      <c r="P604" s="199"/>
      <c r="Q604" s="199"/>
    </row>
    <row r="605" spans="1:17" x14ac:dyDescent="0.25">
      <c r="A605" s="199"/>
      <c r="B605" s="199"/>
      <c r="C605" s="199"/>
      <c r="D605" s="199"/>
      <c r="E605" s="199"/>
      <c r="F605" s="199"/>
      <c r="G605" s="199"/>
      <c r="H605" s="203"/>
      <c r="I605" s="199"/>
      <c r="J605" s="199"/>
      <c r="K605" s="199"/>
      <c r="L605" s="199"/>
      <c r="M605" s="199"/>
      <c r="N605" s="199"/>
      <c r="O605" s="199"/>
      <c r="P605" s="199"/>
      <c r="Q605" s="199"/>
    </row>
    <row r="606" spans="1:17" x14ac:dyDescent="0.25">
      <c r="A606" s="199"/>
      <c r="B606" s="199"/>
      <c r="C606" s="199"/>
      <c r="D606" s="199"/>
      <c r="E606" s="199"/>
      <c r="F606" s="199"/>
      <c r="G606" s="199"/>
      <c r="H606" s="203"/>
      <c r="I606" s="199"/>
      <c r="J606" s="199"/>
      <c r="K606" s="199"/>
      <c r="L606" s="199"/>
      <c r="M606" s="199"/>
      <c r="N606" s="199"/>
      <c r="O606" s="199"/>
      <c r="P606" s="199"/>
      <c r="Q606" s="199"/>
    </row>
    <row r="607" spans="1:17" x14ac:dyDescent="0.25">
      <c r="A607" s="199"/>
      <c r="B607" s="199"/>
      <c r="C607" s="199"/>
      <c r="D607" s="199"/>
      <c r="E607" s="199"/>
      <c r="F607" s="199"/>
      <c r="G607" s="199"/>
      <c r="H607" s="203"/>
      <c r="I607" s="199"/>
      <c r="J607" s="199"/>
      <c r="K607" s="199"/>
      <c r="L607" s="199"/>
      <c r="M607" s="199"/>
      <c r="N607" s="199"/>
      <c r="O607" s="199"/>
      <c r="P607" s="199"/>
      <c r="Q607" s="199"/>
    </row>
    <row r="608" spans="1:17" x14ac:dyDescent="0.25">
      <c r="A608" s="199"/>
      <c r="B608" s="199"/>
      <c r="C608" s="199"/>
      <c r="D608" s="199"/>
      <c r="E608" s="199"/>
      <c r="F608" s="199"/>
      <c r="G608" s="199"/>
      <c r="H608" s="203"/>
      <c r="I608" s="199"/>
      <c r="J608" s="199"/>
      <c r="K608" s="199"/>
      <c r="L608" s="199"/>
      <c r="M608" s="199"/>
      <c r="N608" s="199"/>
      <c r="O608" s="199"/>
      <c r="P608" s="199"/>
      <c r="Q608" s="199"/>
    </row>
    <row r="609" spans="1:17" x14ac:dyDescent="0.25">
      <c r="A609" s="199"/>
      <c r="B609" s="199"/>
      <c r="C609" s="199"/>
      <c r="D609" s="199"/>
      <c r="E609" s="199"/>
      <c r="F609" s="199"/>
      <c r="G609" s="199"/>
      <c r="H609" s="203"/>
      <c r="I609" s="199"/>
      <c r="J609" s="199"/>
      <c r="K609" s="199"/>
      <c r="L609" s="199"/>
      <c r="M609" s="199"/>
      <c r="N609" s="199"/>
      <c r="O609" s="199"/>
      <c r="P609" s="199"/>
      <c r="Q609" s="199"/>
    </row>
    <row r="610" spans="1:17" x14ac:dyDescent="0.25">
      <c r="A610" s="199"/>
      <c r="B610" s="199"/>
      <c r="C610" s="199"/>
      <c r="D610" s="199"/>
      <c r="E610" s="199"/>
      <c r="F610" s="199"/>
      <c r="G610" s="199"/>
      <c r="H610" s="203"/>
      <c r="I610" s="199"/>
      <c r="J610" s="199"/>
      <c r="K610" s="199"/>
      <c r="L610" s="199"/>
      <c r="M610" s="199"/>
      <c r="N610" s="199"/>
      <c r="O610" s="199"/>
      <c r="P610" s="199"/>
      <c r="Q610" s="199"/>
    </row>
    <row r="611" spans="1:17" x14ac:dyDescent="0.25">
      <c r="A611" s="199"/>
      <c r="B611" s="199"/>
      <c r="C611" s="199"/>
      <c r="D611" s="199"/>
      <c r="E611" s="199"/>
      <c r="F611" s="199"/>
      <c r="G611" s="199"/>
      <c r="H611" s="203"/>
      <c r="I611" s="199"/>
      <c r="J611" s="199"/>
      <c r="K611" s="199"/>
      <c r="L611" s="199"/>
      <c r="M611" s="199"/>
      <c r="N611" s="199"/>
      <c r="O611" s="199"/>
      <c r="P611" s="199"/>
      <c r="Q611" s="199"/>
    </row>
    <row r="612" spans="1:17" x14ac:dyDescent="0.25">
      <c r="A612" s="199"/>
      <c r="B612" s="199"/>
      <c r="C612" s="199"/>
      <c r="D612" s="199"/>
      <c r="E612" s="199"/>
      <c r="F612" s="199"/>
      <c r="G612" s="199"/>
      <c r="H612" s="203"/>
      <c r="I612" s="199"/>
      <c r="J612" s="199"/>
      <c r="K612" s="199"/>
      <c r="L612" s="199"/>
      <c r="M612" s="199"/>
      <c r="N612" s="199"/>
      <c r="O612" s="199"/>
      <c r="P612" s="199"/>
      <c r="Q612" s="199"/>
    </row>
    <row r="613" spans="1:17" x14ac:dyDescent="0.25">
      <c r="A613" s="199"/>
      <c r="B613" s="199"/>
      <c r="C613" s="199"/>
      <c r="D613" s="199"/>
      <c r="E613" s="199"/>
      <c r="F613" s="199"/>
      <c r="G613" s="199"/>
      <c r="H613" s="203"/>
      <c r="I613" s="199"/>
      <c r="J613" s="199"/>
      <c r="K613" s="199"/>
      <c r="L613" s="199"/>
      <c r="M613" s="199"/>
      <c r="N613" s="199"/>
      <c r="O613" s="199"/>
      <c r="P613" s="199"/>
      <c r="Q613" s="199"/>
    </row>
    <row r="614" spans="1:17" x14ac:dyDescent="0.25">
      <c r="A614" s="199"/>
      <c r="B614" s="199"/>
      <c r="C614" s="199"/>
      <c r="D614" s="199"/>
      <c r="E614" s="199"/>
      <c r="F614" s="199"/>
      <c r="G614" s="199"/>
      <c r="H614" s="203"/>
      <c r="I614" s="199"/>
      <c r="J614" s="199"/>
      <c r="K614" s="199"/>
      <c r="L614" s="199"/>
      <c r="M614" s="199"/>
      <c r="N614" s="199"/>
      <c r="O614" s="199"/>
      <c r="P614" s="199"/>
      <c r="Q614" s="199"/>
    </row>
    <row r="615" spans="1:17" x14ac:dyDescent="0.25">
      <c r="A615" s="199"/>
      <c r="B615" s="199"/>
      <c r="C615" s="199"/>
      <c r="D615" s="199"/>
      <c r="E615" s="199"/>
      <c r="F615" s="199"/>
      <c r="G615" s="199"/>
      <c r="H615" s="203"/>
      <c r="I615" s="199"/>
      <c r="J615" s="199"/>
      <c r="K615" s="199"/>
      <c r="L615" s="199"/>
      <c r="M615" s="199"/>
      <c r="N615" s="199"/>
      <c r="O615" s="199"/>
      <c r="P615" s="199"/>
      <c r="Q615" s="199"/>
    </row>
    <row r="616" spans="1:17" x14ac:dyDescent="0.25">
      <c r="A616" s="199"/>
      <c r="B616" s="199"/>
      <c r="C616" s="199"/>
      <c r="D616" s="199"/>
      <c r="E616" s="199"/>
      <c r="F616" s="199"/>
      <c r="G616" s="199"/>
      <c r="H616" s="203"/>
      <c r="I616" s="199"/>
      <c r="J616" s="199"/>
      <c r="K616" s="199"/>
      <c r="L616" s="199"/>
      <c r="M616" s="199"/>
      <c r="N616" s="199"/>
      <c r="O616" s="199"/>
      <c r="P616" s="199"/>
      <c r="Q616" s="199"/>
    </row>
    <row r="617" spans="1:17" x14ac:dyDescent="0.25">
      <c r="A617" s="199"/>
      <c r="B617" s="199"/>
      <c r="C617" s="199"/>
      <c r="D617" s="199"/>
      <c r="E617" s="199"/>
      <c r="F617" s="199"/>
      <c r="G617" s="199"/>
      <c r="H617" s="203"/>
      <c r="I617" s="199"/>
      <c r="J617" s="199"/>
      <c r="K617" s="199"/>
      <c r="L617" s="199"/>
      <c r="M617" s="199"/>
      <c r="N617" s="199"/>
      <c r="O617" s="199"/>
      <c r="P617" s="199"/>
      <c r="Q617" s="199"/>
    </row>
    <row r="618" spans="1:17" x14ac:dyDescent="0.25">
      <c r="A618" s="199"/>
      <c r="B618" s="199"/>
      <c r="C618" s="199"/>
      <c r="D618" s="199"/>
      <c r="E618" s="199"/>
      <c r="F618" s="199"/>
      <c r="G618" s="199"/>
      <c r="H618" s="203"/>
      <c r="I618" s="199"/>
      <c r="J618" s="199"/>
      <c r="K618" s="199"/>
      <c r="L618" s="199"/>
      <c r="M618" s="199"/>
      <c r="N618" s="199"/>
      <c r="O618" s="199"/>
      <c r="P618" s="199"/>
      <c r="Q618" s="199"/>
    </row>
    <row r="619" spans="1:17" x14ac:dyDescent="0.25">
      <c r="A619" s="199"/>
      <c r="B619" s="199"/>
      <c r="C619" s="199"/>
      <c r="D619" s="199"/>
      <c r="E619" s="199"/>
      <c r="F619" s="199"/>
      <c r="G619" s="199"/>
      <c r="H619" s="203"/>
      <c r="I619" s="199"/>
      <c r="J619" s="199"/>
      <c r="K619" s="199"/>
      <c r="L619" s="199"/>
      <c r="M619" s="199"/>
      <c r="N619" s="199"/>
      <c r="O619" s="199"/>
      <c r="P619" s="199"/>
      <c r="Q619" s="199"/>
    </row>
    <row r="620" spans="1:17" x14ac:dyDescent="0.25">
      <c r="A620" s="199"/>
      <c r="B620" s="199"/>
      <c r="C620" s="199"/>
      <c r="D620" s="199"/>
      <c r="E620" s="199"/>
      <c r="F620" s="199"/>
      <c r="G620" s="199"/>
      <c r="H620" s="203"/>
      <c r="I620" s="199"/>
      <c r="J620" s="199"/>
      <c r="K620" s="199"/>
      <c r="L620" s="199"/>
      <c r="M620" s="199"/>
      <c r="N620" s="199"/>
      <c r="O620" s="199"/>
      <c r="P620" s="199"/>
      <c r="Q620" s="199"/>
    </row>
    <row r="621" spans="1:17" x14ac:dyDescent="0.25">
      <c r="A621" s="199"/>
      <c r="B621" s="199"/>
      <c r="C621" s="199"/>
      <c r="D621" s="199"/>
      <c r="E621" s="199"/>
      <c r="F621" s="199"/>
      <c r="G621" s="199"/>
      <c r="H621" s="203"/>
      <c r="I621" s="199"/>
      <c r="J621" s="199"/>
      <c r="K621" s="199"/>
      <c r="L621" s="199"/>
      <c r="M621" s="199"/>
      <c r="N621" s="199"/>
      <c r="O621" s="199"/>
      <c r="P621" s="199"/>
      <c r="Q621" s="199"/>
    </row>
    <row r="622" spans="1:17" x14ac:dyDescent="0.25">
      <c r="A622" s="199"/>
      <c r="B622" s="199"/>
      <c r="C622" s="199"/>
      <c r="D622" s="199"/>
      <c r="E622" s="199"/>
      <c r="F622" s="199"/>
      <c r="G622" s="199"/>
      <c r="H622" s="203"/>
      <c r="I622" s="199"/>
      <c r="J622" s="199"/>
      <c r="K622" s="199"/>
      <c r="L622" s="199"/>
      <c r="M622" s="199"/>
      <c r="N622" s="199"/>
      <c r="O622" s="199"/>
      <c r="P622" s="199"/>
      <c r="Q622" s="199"/>
    </row>
    <row r="623" spans="1:17" x14ac:dyDescent="0.25">
      <c r="A623" s="199"/>
      <c r="B623" s="199"/>
      <c r="C623" s="199"/>
      <c r="D623" s="199"/>
      <c r="E623" s="199"/>
      <c r="F623" s="199"/>
      <c r="G623" s="199"/>
      <c r="H623" s="203"/>
      <c r="I623" s="199"/>
      <c r="J623" s="199"/>
      <c r="K623" s="199"/>
      <c r="L623" s="199"/>
      <c r="M623" s="199"/>
      <c r="N623" s="199"/>
      <c r="O623" s="199"/>
      <c r="P623" s="199"/>
      <c r="Q623" s="199"/>
    </row>
    <row r="624" spans="1:17" x14ac:dyDescent="0.25">
      <c r="A624" s="199"/>
      <c r="B624" s="199"/>
      <c r="C624" s="199"/>
      <c r="D624" s="199"/>
      <c r="E624" s="199"/>
      <c r="F624" s="199"/>
      <c r="G624" s="199"/>
      <c r="H624" s="203"/>
      <c r="I624" s="199"/>
      <c r="J624" s="199"/>
      <c r="K624" s="199"/>
      <c r="L624" s="199"/>
      <c r="M624" s="199"/>
      <c r="N624" s="199"/>
      <c r="O624" s="199"/>
      <c r="P624" s="199"/>
      <c r="Q624" s="199"/>
    </row>
  </sheetData>
  <conditionalFormatting sqref="H2:H624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B26A-357E-407C-921D-8BE168B15FB0}">
  <dimension ref="A1:A2"/>
  <sheetViews>
    <sheetView workbookViewId="0">
      <selection activeCell="F8" sqref="F8"/>
    </sheetView>
  </sheetViews>
  <sheetFormatPr defaultRowHeight="15" x14ac:dyDescent="0.25"/>
  <sheetData>
    <row r="1" spans="1:1" x14ac:dyDescent="0.25">
      <c r="A1" t="s">
        <v>1172</v>
      </c>
    </row>
    <row r="2" spans="1:1" x14ac:dyDescent="0.25">
      <c r="A2" t="s">
        <v>1173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DE6D-9462-434B-8CAC-33BDD0704E23}">
  <dimension ref="A1:A16"/>
  <sheetViews>
    <sheetView topLeftCell="A5" workbookViewId="0">
      <selection activeCell="A16" sqref="A16"/>
    </sheetView>
  </sheetViews>
  <sheetFormatPr defaultRowHeight="15" x14ac:dyDescent="0.25"/>
  <cols>
    <col min="1" max="1" width="22.140625" bestFit="1" customWidth="1"/>
  </cols>
  <sheetData>
    <row r="1" spans="1:1" x14ac:dyDescent="0.25">
      <c r="A1" t="s">
        <v>1174</v>
      </c>
    </row>
    <row r="2" spans="1:1" x14ac:dyDescent="0.25">
      <c r="A2" t="s">
        <v>1175</v>
      </c>
    </row>
    <row r="3" spans="1:1" x14ac:dyDescent="0.25">
      <c r="A3" t="s">
        <v>2</v>
      </c>
    </row>
    <row r="4" spans="1:1" x14ac:dyDescent="0.25">
      <c r="A4" t="s">
        <v>20</v>
      </c>
    </row>
    <row r="5" spans="1:1" x14ac:dyDescent="0.25">
      <c r="A5" t="s">
        <v>175</v>
      </c>
    </row>
    <row r="6" spans="1:1" x14ac:dyDescent="0.25">
      <c r="A6" t="s">
        <v>1176</v>
      </c>
    </row>
    <row r="9" spans="1:1" x14ac:dyDescent="0.25">
      <c r="A9" t="s">
        <v>13</v>
      </c>
    </row>
    <row r="10" spans="1:1" x14ac:dyDescent="0.25">
      <c r="A10" t="s">
        <v>52</v>
      </c>
    </row>
    <row r="11" spans="1:1" x14ac:dyDescent="0.25">
      <c r="A11" t="s">
        <v>74</v>
      </c>
    </row>
    <row r="12" spans="1:1" x14ac:dyDescent="0.25">
      <c r="A12" t="s">
        <v>1177</v>
      </c>
    </row>
    <row r="13" spans="1:1" x14ac:dyDescent="0.25">
      <c r="A13" t="s">
        <v>587</v>
      </c>
    </row>
    <row r="14" spans="1:1" x14ac:dyDescent="0.25">
      <c r="A14" t="s">
        <v>157</v>
      </c>
    </row>
    <row r="15" spans="1:1" x14ac:dyDescent="0.25">
      <c r="A15" t="s">
        <v>1178</v>
      </c>
    </row>
    <row r="16" spans="1:1" x14ac:dyDescent="0.25">
      <c r="A16" t="s">
        <v>1179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DD42-E52A-4D55-BDB8-7C94344ED1FA}">
  <sheetPr>
    <pageSetUpPr fitToPage="1"/>
  </sheetPr>
  <dimension ref="A2:S78"/>
  <sheetViews>
    <sheetView showGridLines="0" zoomScale="85" zoomScaleNormal="85" workbookViewId="0">
      <selection activeCell="H11" sqref="H11"/>
    </sheetView>
  </sheetViews>
  <sheetFormatPr defaultColWidth="9.140625" defaultRowHeight="15.75" x14ac:dyDescent="0.25"/>
  <cols>
    <col min="1" max="1" width="25.140625" style="4" customWidth="1"/>
    <col min="2" max="2" width="33.5703125" style="3" customWidth="1"/>
    <col min="3" max="3" width="13.42578125" style="7" customWidth="1"/>
    <col min="4" max="4" width="6.42578125" style="7" customWidth="1"/>
    <col min="5" max="5" width="10.5703125" style="7" customWidth="1"/>
    <col min="6" max="6" width="8.140625" style="4" bestFit="1" customWidth="1"/>
    <col min="7" max="7" width="21.5703125" style="2" customWidth="1"/>
    <col min="8" max="8" width="20.5703125" style="2" customWidth="1"/>
    <col min="9" max="9" width="13.42578125" style="133" customWidth="1"/>
    <col min="10" max="10" width="13.140625" style="133" customWidth="1"/>
    <col min="11" max="11" width="18.85546875" style="134" customWidth="1"/>
    <col min="12" max="12" width="44.42578125" style="2" customWidth="1"/>
    <col min="13" max="13" width="10.5703125" style="2" customWidth="1"/>
    <col min="14" max="14" width="35.140625" style="2" customWidth="1"/>
    <col min="15" max="15" width="17.42578125" style="2" customWidth="1"/>
    <col min="16" max="16" width="58.5703125" style="2" customWidth="1"/>
    <col min="17" max="17" width="8.5703125" style="2" customWidth="1"/>
    <col min="18" max="18" width="9.140625" style="2"/>
    <col min="19" max="19" width="9.140625" style="2" hidden="1" customWidth="1"/>
    <col min="20" max="20" width="9.140625" style="2" customWidth="1"/>
    <col min="21" max="16384" width="9.140625" style="2"/>
  </cols>
  <sheetData>
    <row r="2" spans="1:19" ht="32.25" customHeight="1" x14ac:dyDescent="0.25">
      <c r="A2" s="602" t="s">
        <v>1180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</row>
    <row r="3" spans="1:19" ht="32.450000000000003" customHeight="1" x14ac:dyDescent="0.25">
      <c r="A3" s="615" t="s">
        <v>1035</v>
      </c>
      <c r="B3" s="593" t="s">
        <v>1036</v>
      </c>
      <c r="C3" s="596" t="s">
        <v>1181</v>
      </c>
      <c r="D3" s="596" t="s">
        <v>1182</v>
      </c>
      <c r="E3" s="596" t="s">
        <v>1183</v>
      </c>
      <c r="F3" s="600" t="s">
        <v>1184</v>
      </c>
      <c r="G3" s="611" t="s">
        <v>1185</v>
      </c>
      <c r="H3" s="613" t="s">
        <v>1186</v>
      </c>
      <c r="I3" s="603" t="s">
        <v>1187</v>
      </c>
      <c r="J3" s="605" t="s">
        <v>1188</v>
      </c>
      <c r="K3" s="607" t="s">
        <v>1189</v>
      </c>
      <c r="L3" s="608"/>
      <c r="M3" s="598" t="s">
        <v>1190</v>
      </c>
      <c r="N3" s="598" t="s">
        <v>1191</v>
      </c>
      <c r="O3" s="609" t="s">
        <v>1192</v>
      </c>
      <c r="P3" s="618" t="s">
        <v>1193</v>
      </c>
      <c r="S3" s="593"/>
    </row>
    <row r="4" spans="1:19" s="6" customFormat="1" ht="37.5" customHeight="1" x14ac:dyDescent="0.25">
      <c r="A4" s="616"/>
      <c r="B4" s="617"/>
      <c r="C4" s="597"/>
      <c r="D4" s="597"/>
      <c r="E4" s="597"/>
      <c r="F4" s="601"/>
      <c r="G4" s="612"/>
      <c r="H4" s="614"/>
      <c r="I4" s="604"/>
      <c r="J4" s="606"/>
      <c r="K4" s="151" t="s">
        <v>1194</v>
      </c>
      <c r="L4" s="152" t="s">
        <v>1195</v>
      </c>
      <c r="M4" s="599"/>
      <c r="N4" s="599"/>
      <c r="O4" s="610"/>
      <c r="P4" s="619"/>
      <c r="S4" s="594"/>
    </row>
    <row r="5" spans="1:19" s="22" customFormat="1" ht="20.100000000000001" customHeight="1" x14ac:dyDescent="0.25">
      <c r="A5" s="209" t="s">
        <v>1196</v>
      </c>
      <c r="B5" s="48" t="s">
        <v>1197</v>
      </c>
      <c r="C5" s="153"/>
      <c r="D5" s="153"/>
      <c r="E5" s="153"/>
      <c r="F5" s="210">
        <v>302.7</v>
      </c>
      <c r="G5" s="172" t="s">
        <v>1198</v>
      </c>
      <c r="H5" s="170" t="s">
        <v>1199</v>
      </c>
      <c r="I5" s="211" t="s">
        <v>1200</v>
      </c>
      <c r="J5" s="154" t="s">
        <v>1201</v>
      </c>
      <c r="K5" s="144"/>
      <c r="L5" s="135"/>
      <c r="M5" s="49" t="s">
        <v>1202</v>
      </c>
      <c r="N5" s="49"/>
      <c r="O5" s="212"/>
      <c r="P5" s="174" t="s">
        <v>1203</v>
      </c>
      <c r="R5" s="23"/>
      <c r="S5" s="23" t="e">
        <f>#REF!*1.04</f>
        <v>#REF!</v>
      </c>
    </row>
    <row r="6" spans="1:19" s="22" customFormat="1" ht="20.100000000000001" customHeight="1" x14ac:dyDescent="0.25">
      <c r="A6" s="213" t="s">
        <v>1196</v>
      </c>
      <c r="B6" s="155" t="s">
        <v>1057</v>
      </c>
      <c r="C6" s="153"/>
      <c r="D6" s="153"/>
      <c r="E6" s="37"/>
      <c r="F6" s="210">
        <v>302.7</v>
      </c>
      <c r="G6" s="172" t="s">
        <v>1198</v>
      </c>
      <c r="H6" s="170" t="s">
        <v>1204</v>
      </c>
      <c r="I6" s="211" t="s">
        <v>1200</v>
      </c>
      <c r="J6" s="153" t="s">
        <v>1201</v>
      </c>
      <c r="K6" s="145"/>
      <c r="L6" s="136"/>
      <c r="M6" s="55" t="s">
        <v>1205</v>
      </c>
      <c r="N6" s="55"/>
      <c r="O6" s="49"/>
      <c r="P6" s="174" t="s">
        <v>1203</v>
      </c>
      <c r="R6" s="23"/>
      <c r="S6" s="23" t="e">
        <f>#REF!*1.04</f>
        <v>#REF!</v>
      </c>
    </row>
    <row r="7" spans="1:19" s="24" customFormat="1" ht="20.100000000000001" customHeight="1" x14ac:dyDescent="0.25">
      <c r="A7" s="213" t="s">
        <v>1196</v>
      </c>
      <c r="B7" s="61" t="s">
        <v>1206</v>
      </c>
      <c r="C7" s="153"/>
      <c r="D7" s="153"/>
      <c r="E7" s="153"/>
      <c r="F7" s="210">
        <v>302.7</v>
      </c>
      <c r="G7" s="172" t="s">
        <v>1198</v>
      </c>
      <c r="H7" s="169" t="s">
        <v>1207</v>
      </c>
      <c r="I7" s="153" t="s">
        <v>1208</v>
      </c>
      <c r="J7" s="211" t="s">
        <v>1200</v>
      </c>
      <c r="K7" s="145"/>
      <c r="L7" s="136"/>
      <c r="M7" s="55" t="s">
        <v>1205</v>
      </c>
      <c r="N7" s="55"/>
      <c r="O7" s="49"/>
      <c r="P7" s="174" t="s">
        <v>1203</v>
      </c>
      <c r="S7" s="23" t="e">
        <f>#REF!*1.04</f>
        <v>#REF!</v>
      </c>
    </row>
    <row r="8" spans="1:19" s="24" customFormat="1" ht="20.100000000000001" customHeight="1" x14ac:dyDescent="0.25">
      <c r="A8" s="213" t="s">
        <v>1196</v>
      </c>
      <c r="B8" s="61" t="s">
        <v>1209</v>
      </c>
      <c r="C8" s="153"/>
      <c r="D8" s="153"/>
      <c r="E8" s="153"/>
      <c r="F8" s="210">
        <v>302.7</v>
      </c>
      <c r="G8" s="172" t="s">
        <v>1198</v>
      </c>
      <c r="H8" s="169" t="s">
        <v>1210</v>
      </c>
      <c r="I8" s="153" t="s">
        <v>1211</v>
      </c>
      <c r="J8" s="211" t="s">
        <v>1200</v>
      </c>
      <c r="K8" s="145"/>
      <c r="L8" s="136"/>
      <c r="M8" s="55" t="s">
        <v>1205</v>
      </c>
      <c r="N8" s="55"/>
      <c r="O8" s="49"/>
      <c r="P8" s="174" t="s">
        <v>1203</v>
      </c>
      <c r="S8" s="23" t="e">
        <f>#REF!*1.04</f>
        <v>#REF!</v>
      </c>
    </row>
    <row r="9" spans="1:19" s="24" customFormat="1" ht="20.100000000000001" customHeight="1" x14ac:dyDescent="0.25">
      <c r="A9" s="213" t="s">
        <v>1196</v>
      </c>
      <c r="B9" s="61" t="s">
        <v>1212</v>
      </c>
      <c r="C9" s="153"/>
      <c r="D9" s="153"/>
      <c r="E9" s="153"/>
      <c r="F9" s="210">
        <v>302.7</v>
      </c>
      <c r="G9" s="172" t="s">
        <v>1198</v>
      </c>
      <c r="H9" s="169" t="s">
        <v>1213</v>
      </c>
      <c r="I9" s="153" t="s">
        <v>1214</v>
      </c>
      <c r="J9" s="211" t="s">
        <v>1200</v>
      </c>
      <c r="K9" s="145"/>
      <c r="L9" s="136"/>
      <c r="M9" s="55" t="s">
        <v>1202</v>
      </c>
      <c r="N9" s="55"/>
      <c r="O9" s="49"/>
      <c r="P9" s="174" t="s">
        <v>1203</v>
      </c>
      <c r="S9" s="23" t="e">
        <f>#REF!*1.04</f>
        <v>#REF!</v>
      </c>
    </row>
    <row r="10" spans="1:19" s="24" customFormat="1" ht="20.100000000000001" customHeight="1" x14ac:dyDescent="0.25">
      <c r="A10" s="214" t="s">
        <v>1196</v>
      </c>
      <c r="B10" s="42" t="s">
        <v>1215</v>
      </c>
      <c r="C10" s="156"/>
      <c r="D10" s="156"/>
      <c r="E10" s="156"/>
      <c r="F10" s="210">
        <v>302.7</v>
      </c>
      <c r="G10" s="172" t="s">
        <v>1198</v>
      </c>
      <c r="H10" s="171" t="s">
        <v>1216</v>
      </c>
      <c r="I10" s="156" t="s">
        <v>1217</v>
      </c>
      <c r="J10" s="211" t="s">
        <v>1200</v>
      </c>
      <c r="K10" s="146"/>
      <c r="L10" s="137"/>
      <c r="M10" s="65" t="s">
        <v>1205</v>
      </c>
      <c r="N10" s="65"/>
      <c r="O10" s="49"/>
      <c r="P10" s="174" t="s">
        <v>1203</v>
      </c>
      <c r="S10" s="23" t="e">
        <f>#REF!*1.04</f>
        <v>#REF!</v>
      </c>
    </row>
    <row r="11" spans="1:19" s="24" customFormat="1" ht="20.100000000000001" customHeight="1" x14ac:dyDescent="0.25">
      <c r="A11" s="215" t="s">
        <v>1040</v>
      </c>
      <c r="B11" s="216"/>
      <c r="C11" s="217"/>
      <c r="D11" s="217"/>
      <c r="E11" s="217"/>
      <c r="F11" s="217"/>
      <c r="G11" s="217"/>
      <c r="H11" s="218"/>
      <c r="I11" s="138"/>
      <c r="J11" s="138"/>
      <c r="K11" s="147"/>
      <c r="L11" s="138"/>
      <c r="M11" s="218"/>
      <c r="N11" s="218"/>
      <c r="O11" s="218"/>
      <c r="P11" s="219"/>
    </row>
    <row r="12" spans="1:19" s="24" customFormat="1" ht="20.100000000000001" customHeight="1" x14ac:dyDescent="0.25">
      <c r="A12" s="209" t="s">
        <v>1218</v>
      </c>
      <c r="B12" s="48" t="s">
        <v>1209</v>
      </c>
      <c r="C12" s="153"/>
      <c r="D12" s="153"/>
      <c r="E12" s="153"/>
      <c r="F12" s="210">
        <v>302.7</v>
      </c>
      <c r="G12" s="172" t="s">
        <v>1198</v>
      </c>
      <c r="H12" s="169" t="s">
        <v>1210</v>
      </c>
      <c r="I12" s="153" t="s">
        <v>1211</v>
      </c>
      <c r="J12" s="211" t="s">
        <v>1200</v>
      </c>
      <c r="K12" s="145"/>
      <c r="L12" s="136"/>
      <c r="M12" s="49" t="s">
        <v>1205</v>
      </c>
      <c r="N12" s="49"/>
      <c r="O12" s="49"/>
      <c r="P12" s="174" t="s">
        <v>1203</v>
      </c>
      <c r="S12" s="23" t="e">
        <f>#REF!*1.04</f>
        <v>#REF!</v>
      </c>
    </row>
    <row r="13" spans="1:19" s="24" customFormat="1" ht="20.100000000000001" customHeight="1" x14ac:dyDescent="0.25">
      <c r="A13" s="214" t="s">
        <v>1218</v>
      </c>
      <c r="B13" s="42" t="s">
        <v>1215</v>
      </c>
      <c r="C13" s="156"/>
      <c r="D13" s="156"/>
      <c r="E13" s="156"/>
      <c r="F13" s="210">
        <v>302.7</v>
      </c>
      <c r="G13" s="172" t="s">
        <v>1198</v>
      </c>
      <c r="H13" s="171" t="s">
        <v>1216</v>
      </c>
      <c r="I13" s="156" t="s">
        <v>1217</v>
      </c>
      <c r="J13" s="211" t="s">
        <v>1200</v>
      </c>
      <c r="K13" s="146"/>
      <c r="L13" s="137"/>
      <c r="M13" s="65" t="s">
        <v>1205</v>
      </c>
      <c r="N13" s="65"/>
      <c r="O13" s="49"/>
      <c r="P13" s="174" t="s">
        <v>1203</v>
      </c>
      <c r="S13" s="23" t="e">
        <f>#REF!*1.04</f>
        <v>#REF!</v>
      </c>
    </row>
    <row r="14" spans="1:19" s="25" customFormat="1" ht="20.100000000000001" customHeight="1" x14ac:dyDescent="0.25">
      <c r="A14" s="215" t="s">
        <v>1040</v>
      </c>
      <c r="B14" s="220"/>
      <c r="C14" s="221"/>
      <c r="D14" s="221"/>
      <c r="E14" s="221"/>
      <c r="F14" s="221"/>
      <c r="G14" s="221"/>
      <c r="H14" s="222"/>
      <c r="I14" s="139"/>
      <c r="J14" s="139"/>
      <c r="K14" s="147"/>
      <c r="L14" s="139"/>
      <c r="M14" s="222"/>
      <c r="N14" s="222"/>
      <c r="O14" s="222"/>
      <c r="P14" s="223"/>
    </row>
    <row r="15" spans="1:19" s="25" customFormat="1" ht="20.100000000000001" customHeight="1" x14ac:dyDescent="0.25">
      <c r="A15" s="209" t="s">
        <v>1219</v>
      </c>
      <c r="B15" s="48" t="s">
        <v>1197</v>
      </c>
      <c r="C15" s="153"/>
      <c r="D15" s="153"/>
      <c r="E15" s="153"/>
      <c r="F15" s="210">
        <v>302.7</v>
      </c>
      <c r="G15" s="172" t="s">
        <v>1198</v>
      </c>
      <c r="H15" s="169" t="s">
        <v>1199</v>
      </c>
      <c r="I15" s="211" t="s">
        <v>1200</v>
      </c>
      <c r="J15" s="153" t="s">
        <v>1201</v>
      </c>
      <c r="K15" s="144"/>
      <c r="L15" s="135"/>
      <c r="M15" s="49" t="s">
        <v>1202</v>
      </c>
      <c r="N15" s="49"/>
      <c r="O15" s="49"/>
      <c r="P15" s="174" t="s">
        <v>1203</v>
      </c>
      <c r="S15" s="23" t="e">
        <f>#REF!*1.04</f>
        <v>#REF!</v>
      </c>
    </row>
    <row r="16" spans="1:19" s="25" customFormat="1" ht="20.100000000000001" customHeight="1" x14ac:dyDescent="0.25">
      <c r="A16" s="213" t="s">
        <v>1219</v>
      </c>
      <c r="B16" s="54" t="s">
        <v>1220</v>
      </c>
      <c r="C16" s="153"/>
      <c r="D16" s="153"/>
      <c r="E16" s="153"/>
      <c r="F16" s="210">
        <v>302.7</v>
      </c>
      <c r="G16" s="172" t="s">
        <v>1198</v>
      </c>
      <c r="H16" s="169" t="s">
        <v>1221</v>
      </c>
      <c r="I16" s="153" t="s">
        <v>1222</v>
      </c>
      <c r="J16" s="211" t="s">
        <v>1200</v>
      </c>
      <c r="K16" s="145"/>
      <c r="L16" s="136"/>
      <c r="M16" s="55" t="s">
        <v>1205</v>
      </c>
      <c r="N16" s="55"/>
      <c r="O16" s="49"/>
      <c r="P16" s="174" t="s">
        <v>1203</v>
      </c>
      <c r="S16" s="23" t="e">
        <f>#REF!*1.04</f>
        <v>#REF!</v>
      </c>
    </row>
    <row r="17" spans="1:19" s="24" customFormat="1" ht="28.5" customHeight="1" x14ac:dyDescent="0.25">
      <c r="A17" s="213" t="s">
        <v>1219</v>
      </c>
      <c r="B17" s="61" t="s">
        <v>1206</v>
      </c>
      <c r="C17" s="153"/>
      <c r="D17" s="153"/>
      <c r="E17" s="153"/>
      <c r="F17" s="210">
        <v>302.7</v>
      </c>
      <c r="G17" s="172" t="s">
        <v>1198</v>
      </c>
      <c r="H17" s="169" t="s">
        <v>1207</v>
      </c>
      <c r="I17" s="153" t="s">
        <v>1208</v>
      </c>
      <c r="J17" s="211" t="s">
        <v>1200</v>
      </c>
      <c r="K17" s="145"/>
      <c r="L17" s="136"/>
      <c r="M17" s="55" t="s">
        <v>1205</v>
      </c>
      <c r="N17" s="55"/>
      <c r="O17" s="49"/>
      <c r="P17" s="174" t="s">
        <v>1203</v>
      </c>
      <c r="S17" s="23" t="e">
        <f>#REF!*1.04</f>
        <v>#REF!</v>
      </c>
    </row>
    <row r="18" spans="1:19" s="24" customFormat="1" ht="20.100000000000001" customHeight="1" x14ac:dyDescent="0.25">
      <c r="A18" s="213" t="s">
        <v>1219</v>
      </c>
      <c r="B18" s="61" t="s">
        <v>1209</v>
      </c>
      <c r="C18" s="153"/>
      <c r="D18" s="153"/>
      <c r="E18" s="153"/>
      <c r="F18" s="210">
        <v>302.7</v>
      </c>
      <c r="G18" s="172" t="s">
        <v>1198</v>
      </c>
      <c r="H18" s="169" t="s">
        <v>1210</v>
      </c>
      <c r="I18" s="153" t="s">
        <v>1211</v>
      </c>
      <c r="J18" s="211" t="s">
        <v>1200</v>
      </c>
      <c r="K18" s="145"/>
      <c r="L18" s="136"/>
      <c r="M18" s="55" t="s">
        <v>1205</v>
      </c>
      <c r="N18" s="55"/>
      <c r="O18" s="49"/>
      <c r="P18" s="174" t="s">
        <v>1203</v>
      </c>
      <c r="S18" s="23" t="e">
        <f>#REF!*1.04</f>
        <v>#REF!</v>
      </c>
    </row>
    <row r="19" spans="1:19" s="24" customFormat="1" ht="20.100000000000001" customHeight="1" x14ac:dyDescent="0.25">
      <c r="A19" s="213" t="s">
        <v>1219</v>
      </c>
      <c r="B19" s="61" t="s">
        <v>1212</v>
      </c>
      <c r="C19" s="153"/>
      <c r="D19" s="153"/>
      <c r="E19" s="153"/>
      <c r="F19" s="210">
        <v>302.7</v>
      </c>
      <c r="G19" s="172" t="s">
        <v>1198</v>
      </c>
      <c r="H19" s="169" t="s">
        <v>1213</v>
      </c>
      <c r="I19" s="153" t="s">
        <v>1214</v>
      </c>
      <c r="J19" s="211" t="s">
        <v>1200</v>
      </c>
      <c r="K19" s="145"/>
      <c r="L19" s="136"/>
      <c r="M19" s="55" t="s">
        <v>1202</v>
      </c>
      <c r="N19" s="55"/>
      <c r="O19" s="49"/>
      <c r="P19" s="174" t="s">
        <v>1203</v>
      </c>
      <c r="S19" s="23" t="e">
        <f>#REF!*1.04</f>
        <v>#REF!</v>
      </c>
    </row>
    <row r="20" spans="1:19" s="24" customFormat="1" ht="20.100000000000001" customHeight="1" x14ac:dyDescent="0.25">
      <c r="A20" s="214" t="s">
        <v>1219</v>
      </c>
      <c r="B20" s="42" t="s">
        <v>1215</v>
      </c>
      <c r="C20" s="156"/>
      <c r="D20" s="156"/>
      <c r="E20" s="156"/>
      <c r="F20" s="210">
        <v>302.7</v>
      </c>
      <c r="G20" s="172" t="s">
        <v>1198</v>
      </c>
      <c r="H20" s="171" t="s">
        <v>1216</v>
      </c>
      <c r="I20" s="156" t="s">
        <v>1217</v>
      </c>
      <c r="J20" s="211" t="s">
        <v>1200</v>
      </c>
      <c r="K20" s="146"/>
      <c r="L20" s="137"/>
      <c r="M20" s="65" t="s">
        <v>1205</v>
      </c>
      <c r="N20" s="65"/>
      <c r="O20" s="49"/>
      <c r="P20" s="174" t="s">
        <v>1203</v>
      </c>
      <c r="S20" s="23" t="e">
        <f>#REF!*1.04</f>
        <v>#REF!</v>
      </c>
    </row>
    <row r="21" spans="1:19" s="25" customFormat="1" ht="20.100000000000001" customHeight="1" x14ac:dyDescent="0.25">
      <c r="A21" s="215" t="s">
        <v>1040</v>
      </c>
      <c r="B21" s="216"/>
      <c r="C21" s="217"/>
      <c r="D21" s="217"/>
      <c r="E21" s="217"/>
      <c r="F21" s="217"/>
      <c r="G21" s="217"/>
      <c r="H21" s="218"/>
      <c r="I21" s="138"/>
      <c r="J21" s="138"/>
      <c r="K21" s="147"/>
      <c r="L21" s="138"/>
      <c r="M21" s="218"/>
      <c r="N21" s="218"/>
      <c r="O21" s="218"/>
      <c r="P21" s="219"/>
    </row>
    <row r="22" spans="1:19" s="25" customFormat="1" ht="20.100000000000001" customHeight="1" x14ac:dyDescent="0.25">
      <c r="A22" s="224" t="s">
        <v>1223</v>
      </c>
      <c r="B22" s="48" t="s">
        <v>1197</v>
      </c>
      <c r="C22" s="153"/>
      <c r="D22" s="153"/>
      <c r="E22" s="153"/>
      <c r="F22" s="210">
        <v>302.7</v>
      </c>
      <c r="G22" s="172" t="s">
        <v>1198</v>
      </c>
      <c r="H22" s="169" t="s">
        <v>1199</v>
      </c>
      <c r="I22" s="211" t="s">
        <v>1200</v>
      </c>
      <c r="J22" s="153" t="s">
        <v>1201</v>
      </c>
      <c r="K22" s="144"/>
      <c r="L22" s="135"/>
      <c r="M22" s="49" t="s">
        <v>1202</v>
      </c>
      <c r="N22" s="49"/>
      <c r="O22" s="49"/>
      <c r="P22" s="174" t="s">
        <v>1203</v>
      </c>
      <c r="S22" s="23" t="e">
        <f>#REF!*1.04</f>
        <v>#REF!</v>
      </c>
    </row>
    <row r="23" spans="1:19" s="25" customFormat="1" ht="20.100000000000001" customHeight="1" x14ac:dyDescent="0.25">
      <c r="A23" s="225" t="s">
        <v>1223</v>
      </c>
      <c r="B23" s="226" t="s">
        <v>1057</v>
      </c>
      <c r="C23" s="153"/>
      <c r="D23" s="153"/>
      <c r="E23" s="37"/>
      <c r="F23" s="210">
        <v>302.7</v>
      </c>
      <c r="G23" s="172" t="s">
        <v>1198</v>
      </c>
      <c r="H23" s="170" t="s">
        <v>1204</v>
      </c>
      <c r="I23" s="211" t="s">
        <v>1200</v>
      </c>
      <c r="J23" s="153" t="s">
        <v>1201</v>
      </c>
      <c r="K23" s="145"/>
      <c r="L23" s="136"/>
      <c r="M23" s="55" t="s">
        <v>1205</v>
      </c>
      <c r="N23" s="55"/>
      <c r="O23" s="49"/>
      <c r="P23" s="174" t="s">
        <v>1203</v>
      </c>
      <c r="S23" s="23" t="e">
        <f>#REF!*1.04</f>
        <v>#REF!</v>
      </c>
    </row>
    <row r="24" spans="1:19" s="25" customFormat="1" ht="20.100000000000001" customHeight="1" x14ac:dyDescent="0.25">
      <c r="A24" s="225" t="s">
        <v>1223</v>
      </c>
      <c r="B24" s="157" t="s">
        <v>1220</v>
      </c>
      <c r="C24" s="153"/>
      <c r="D24" s="153"/>
      <c r="E24" s="153"/>
      <c r="F24" s="210">
        <v>302.7</v>
      </c>
      <c r="G24" s="172" t="s">
        <v>1198</v>
      </c>
      <c r="H24" s="169" t="s">
        <v>1221</v>
      </c>
      <c r="I24" s="153" t="s">
        <v>1222</v>
      </c>
      <c r="J24" s="211" t="s">
        <v>1200</v>
      </c>
      <c r="K24" s="145"/>
      <c r="L24" s="136"/>
      <c r="M24" s="55" t="s">
        <v>1205</v>
      </c>
      <c r="N24" s="55"/>
      <c r="O24" s="49"/>
      <c r="P24" s="174" t="s">
        <v>1203</v>
      </c>
      <c r="S24" s="23" t="e">
        <f>#REF!*1.04</f>
        <v>#REF!</v>
      </c>
    </row>
    <row r="25" spans="1:19" s="25" customFormat="1" ht="20.100000000000001" customHeight="1" x14ac:dyDescent="0.25">
      <c r="A25" s="225" t="s">
        <v>1223</v>
      </c>
      <c r="B25" s="61" t="s">
        <v>1206</v>
      </c>
      <c r="C25" s="153"/>
      <c r="D25" s="153"/>
      <c r="E25" s="153"/>
      <c r="F25" s="210">
        <v>302.7</v>
      </c>
      <c r="G25" s="172" t="s">
        <v>1198</v>
      </c>
      <c r="H25" s="169" t="s">
        <v>1207</v>
      </c>
      <c r="I25" s="153" t="s">
        <v>1208</v>
      </c>
      <c r="J25" s="211" t="s">
        <v>1200</v>
      </c>
      <c r="K25" s="145"/>
      <c r="L25" s="136"/>
      <c r="M25" s="55" t="s">
        <v>1205</v>
      </c>
      <c r="N25" s="55"/>
      <c r="O25" s="49"/>
      <c r="P25" s="174" t="s">
        <v>1203</v>
      </c>
      <c r="S25" s="23" t="e">
        <f>#REF!*1.04</f>
        <v>#REF!</v>
      </c>
    </row>
    <row r="26" spans="1:19" s="25" customFormat="1" ht="20.100000000000001" customHeight="1" x14ac:dyDescent="0.25">
      <c r="A26" s="225" t="s">
        <v>1223</v>
      </c>
      <c r="B26" s="37" t="s">
        <v>1209</v>
      </c>
      <c r="C26" s="153"/>
      <c r="D26" s="153"/>
      <c r="E26" s="153"/>
      <c r="F26" s="210">
        <v>302.7</v>
      </c>
      <c r="G26" s="172" t="s">
        <v>1198</v>
      </c>
      <c r="H26" s="169" t="s">
        <v>1210</v>
      </c>
      <c r="I26" s="153" t="s">
        <v>1211</v>
      </c>
      <c r="J26" s="211" t="s">
        <v>1200</v>
      </c>
      <c r="K26" s="145"/>
      <c r="L26" s="136"/>
      <c r="M26" s="55" t="s">
        <v>1205</v>
      </c>
      <c r="N26" s="55"/>
      <c r="O26" s="49"/>
      <c r="P26" s="174" t="s">
        <v>1203</v>
      </c>
      <c r="S26" s="23" t="e">
        <f>#REF!*1.04</f>
        <v>#REF!</v>
      </c>
    </row>
    <row r="27" spans="1:19" s="24" customFormat="1" ht="20.100000000000001" customHeight="1" x14ac:dyDescent="0.25">
      <c r="A27" s="225" t="s">
        <v>1223</v>
      </c>
      <c r="B27" s="61" t="s">
        <v>1212</v>
      </c>
      <c r="C27" s="153"/>
      <c r="D27" s="153"/>
      <c r="E27" s="153"/>
      <c r="F27" s="210">
        <v>302.7</v>
      </c>
      <c r="G27" s="172" t="s">
        <v>1198</v>
      </c>
      <c r="H27" s="169" t="s">
        <v>1213</v>
      </c>
      <c r="I27" s="153" t="s">
        <v>1214</v>
      </c>
      <c r="J27" s="211" t="s">
        <v>1200</v>
      </c>
      <c r="K27" s="145"/>
      <c r="L27" s="136"/>
      <c r="M27" s="55" t="s">
        <v>1202</v>
      </c>
      <c r="N27" s="55"/>
      <c r="O27" s="49"/>
      <c r="P27" s="174" t="s">
        <v>1203</v>
      </c>
      <c r="S27" s="23" t="e">
        <f>#REF!*1.04</f>
        <v>#REF!</v>
      </c>
    </row>
    <row r="28" spans="1:19" s="24" customFormat="1" ht="20.100000000000001" customHeight="1" x14ac:dyDescent="0.25">
      <c r="A28" s="227" t="s">
        <v>1223</v>
      </c>
      <c r="B28" s="42" t="s">
        <v>1215</v>
      </c>
      <c r="C28" s="156"/>
      <c r="D28" s="156"/>
      <c r="E28" s="156"/>
      <c r="F28" s="210">
        <v>302.7</v>
      </c>
      <c r="G28" s="172" t="s">
        <v>1198</v>
      </c>
      <c r="H28" s="171" t="s">
        <v>1216</v>
      </c>
      <c r="I28" s="156" t="s">
        <v>1217</v>
      </c>
      <c r="J28" s="211" t="s">
        <v>1200</v>
      </c>
      <c r="K28" s="146"/>
      <c r="L28" s="137"/>
      <c r="M28" s="65" t="s">
        <v>1205</v>
      </c>
      <c r="N28" s="65"/>
      <c r="O28" s="49"/>
      <c r="P28" s="174" t="s">
        <v>1203</v>
      </c>
      <c r="S28" s="23" t="e">
        <f>#REF!*1.04</f>
        <v>#REF!</v>
      </c>
    </row>
    <row r="29" spans="1:19" s="25" customFormat="1" ht="20.100000000000001" customHeight="1" x14ac:dyDescent="0.25">
      <c r="A29" s="215" t="s">
        <v>1040</v>
      </c>
      <c r="B29" s="216"/>
      <c r="C29" s="221"/>
      <c r="D29" s="221"/>
      <c r="E29" s="221"/>
      <c r="F29" s="221"/>
      <c r="G29" s="221"/>
      <c r="H29" s="222"/>
      <c r="I29" s="139"/>
      <c r="J29" s="139"/>
      <c r="K29" s="147"/>
      <c r="L29" s="139"/>
      <c r="M29" s="222"/>
      <c r="N29" s="222"/>
      <c r="O29" s="222"/>
      <c r="P29" s="223"/>
    </row>
    <row r="30" spans="1:19" s="25" customFormat="1" ht="20.100000000000001" customHeight="1" x14ac:dyDescent="0.25">
      <c r="A30" s="209" t="s">
        <v>1224</v>
      </c>
      <c r="B30" s="228" t="s">
        <v>1057</v>
      </c>
      <c r="C30" s="153"/>
      <c r="D30" s="153"/>
      <c r="E30" s="37"/>
      <c r="F30" s="210">
        <v>302.7</v>
      </c>
      <c r="G30" s="172" t="s">
        <v>1198</v>
      </c>
      <c r="H30" s="170" t="s">
        <v>1204</v>
      </c>
      <c r="I30" s="211" t="s">
        <v>1200</v>
      </c>
      <c r="J30" s="153" t="s">
        <v>1201</v>
      </c>
      <c r="K30" s="145"/>
      <c r="L30" s="136"/>
      <c r="M30" s="49" t="s">
        <v>1205</v>
      </c>
      <c r="N30" s="49"/>
      <c r="O30" s="49"/>
      <c r="P30" s="174" t="s">
        <v>1203</v>
      </c>
      <c r="S30" s="23" t="e">
        <f>#REF!*1.04</f>
        <v>#REF!</v>
      </c>
    </row>
    <row r="31" spans="1:19" s="25" customFormat="1" ht="20.100000000000001" customHeight="1" x14ac:dyDescent="0.25">
      <c r="A31" s="213" t="s">
        <v>1224</v>
      </c>
      <c r="B31" s="61" t="s">
        <v>1225</v>
      </c>
      <c r="C31" s="168"/>
      <c r="D31" s="168"/>
      <c r="E31" s="168"/>
      <c r="F31" s="210">
        <v>302.7</v>
      </c>
      <c r="G31" s="172" t="s">
        <v>1198</v>
      </c>
      <c r="H31" s="169" t="s">
        <v>1226</v>
      </c>
      <c r="I31" s="211" t="s">
        <v>1200</v>
      </c>
      <c r="J31" s="153" t="s">
        <v>1227</v>
      </c>
      <c r="K31" s="145"/>
      <c r="L31" s="136"/>
      <c r="M31" s="55" t="s">
        <v>1205</v>
      </c>
      <c r="N31" s="55"/>
      <c r="O31" s="49"/>
      <c r="P31" s="174" t="s">
        <v>1203</v>
      </c>
      <c r="S31" s="23" t="e">
        <f>#REF!*1.04</f>
        <v>#REF!</v>
      </c>
    </row>
    <row r="32" spans="1:19" s="26" customFormat="1" ht="20.100000000000001" customHeight="1" x14ac:dyDescent="0.25">
      <c r="A32" s="213" t="s">
        <v>1224</v>
      </c>
      <c r="B32" s="54" t="s">
        <v>1206</v>
      </c>
      <c r="C32" s="153"/>
      <c r="D32" s="153"/>
      <c r="E32" s="153"/>
      <c r="F32" s="210">
        <v>302.7</v>
      </c>
      <c r="G32" s="172" t="s">
        <v>1198</v>
      </c>
      <c r="H32" s="169" t="s">
        <v>1207</v>
      </c>
      <c r="I32" s="153" t="s">
        <v>1208</v>
      </c>
      <c r="J32" s="211" t="s">
        <v>1200</v>
      </c>
      <c r="K32" s="145"/>
      <c r="L32" s="136"/>
      <c r="M32" s="55" t="s">
        <v>1205</v>
      </c>
      <c r="N32" s="55"/>
      <c r="O32" s="49"/>
      <c r="P32" s="174" t="s">
        <v>1203</v>
      </c>
      <c r="S32" s="23" t="e">
        <f>#REF!*1.04</f>
        <v>#REF!</v>
      </c>
    </row>
    <row r="33" spans="1:19" s="26" customFormat="1" ht="20.100000000000001" customHeight="1" x14ac:dyDescent="0.25">
      <c r="A33" s="213" t="s">
        <v>1224</v>
      </c>
      <c r="B33" s="54" t="s">
        <v>1209</v>
      </c>
      <c r="C33" s="153"/>
      <c r="D33" s="153"/>
      <c r="E33" s="153"/>
      <c r="F33" s="210">
        <v>302.7</v>
      </c>
      <c r="G33" s="172" t="s">
        <v>1198</v>
      </c>
      <c r="H33" s="169" t="s">
        <v>1210</v>
      </c>
      <c r="I33" s="153" t="s">
        <v>1211</v>
      </c>
      <c r="J33" s="211" t="s">
        <v>1200</v>
      </c>
      <c r="K33" s="145"/>
      <c r="L33" s="136"/>
      <c r="M33" s="55" t="s">
        <v>1205</v>
      </c>
      <c r="N33" s="55"/>
      <c r="O33" s="49"/>
      <c r="P33" s="174" t="s">
        <v>1203</v>
      </c>
      <c r="S33" s="23" t="e">
        <f>#REF!*1.04</f>
        <v>#REF!</v>
      </c>
    </row>
    <row r="34" spans="1:19" s="26" customFormat="1" ht="20.100000000000001" customHeight="1" x14ac:dyDescent="0.25">
      <c r="A34" s="214" t="s">
        <v>1224</v>
      </c>
      <c r="B34" s="158" t="s">
        <v>1215</v>
      </c>
      <c r="C34" s="156"/>
      <c r="D34" s="156"/>
      <c r="E34" s="156"/>
      <c r="F34" s="210">
        <v>302.7</v>
      </c>
      <c r="G34" s="172" t="s">
        <v>1198</v>
      </c>
      <c r="H34" s="171" t="s">
        <v>1228</v>
      </c>
      <c r="I34" s="156" t="s">
        <v>1217</v>
      </c>
      <c r="J34" s="211" t="s">
        <v>1200</v>
      </c>
      <c r="K34" s="146"/>
      <c r="L34" s="137"/>
      <c r="M34" s="65" t="s">
        <v>1202</v>
      </c>
      <c r="N34" s="65"/>
      <c r="O34" s="49"/>
      <c r="P34" s="174" t="s">
        <v>1203</v>
      </c>
      <c r="S34" s="23" t="e">
        <f>#REF!*1.04</f>
        <v>#REF!</v>
      </c>
    </row>
    <row r="35" spans="1:19" s="25" customFormat="1" ht="20.100000000000001" customHeight="1" x14ac:dyDescent="0.25">
      <c r="A35" s="215" t="s">
        <v>1040</v>
      </c>
      <c r="B35" s="216"/>
      <c r="C35" s="220"/>
      <c r="D35" s="220"/>
      <c r="E35" s="220"/>
      <c r="F35" s="220"/>
      <c r="G35" s="220"/>
      <c r="H35" s="229"/>
      <c r="I35" s="140"/>
      <c r="J35" s="140"/>
      <c r="K35" s="148"/>
      <c r="L35" s="140"/>
      <c r="M35" s="229"/>
      <c r="N35" s="229"/>
      <c r="O35" s="229"/>
      <c r="P35" s="230"/>
    </row>
    <row r="36" spans="1:19" s="25" customFormat="1" ht="20.100000000000001" customHeight="1" x14ac:dyDescent="0.25">
      <c r="A36" s="231" t="s">
        <v>1229</v>
      </c>
      <c r="B36" s="159" t="s">
        <v>1215</v>
      </c>
      <c r="C36" s="156"/>
      <c r="D36" s="156"/>
      <c r="E36" s="156"/>
      <c r="F36" s="210">
        <v>302.7</v>
      </c>
      <c r="G36" s="172" t="s">
        <v>1198</v>
      </c>
      <c r="H36" s="167" t="s">
        <v>1230</v>
      </c>
      <c r="I36" s="156" t="s">
        <v>1217</v>
      </c>
      <c r="J36" s="211" t="s">
        <v>1200</v>
      </c>
      <c r="K36" s="146"/>
      <c r="L36" s="137"/>
      <c r="M36" s="232" t="s">
        <v>1202</v>
      </c>
      <c r="N36" s="54" t="s">
        <v>1231</v>
      </c>
      <c r="O36" s="49"/>
      <c r="P36" s="174" t="s">
        <v>1203</v>
      </c>
      <c r="S36" s="23" t="e">
        <f>#REF!*1.04</f>
        <v>#REF!</v>
      </c>
    </row>
    <row r="37" spans="1:19" s="25" customFormat="1" ht="20.100000000000001" customHeight="1" x14ac:dyDescent="0.25">
      <c r="A37" s="215" t="s">
        <v>1040</v>
      </c>
      <c r="B37" s="216"/>
      <c r="C37" s="220"/>
      <c r="D37" s="220"/>
      <c r="E37" s="220"/>
      <c r="F37" s="220"/>
      <c r="G37" s="220"/>
      <c r="H37" s="229"/>
      <c r="I37" s="140"/>
      <c r="J37" s="140"/>
      <c r="K37" s="148"/>
      <c r="L37" s="140"/>
      <c r="M37" s="229"/>
      <c r="N37" s="229"/>
      <c r="O37" s="229"/>
      <c r="P37" s="230"/>
    </row>
    <row r="38" spans="1:19" s="25" customFormat="1" ht="20.100000000000001" customHeight="1" x14ac:dyDescent="0.25">
      <c r="A38" s="233" t="s">
        <v>1232</v>
      </c>
      <c r="B38" s="159" t="s">
        <v>1209</v>
      </c>
      <c r="C38" s="153"/>
      <c r="D38" s="153"/>
      <c r="E38" s="153"/>
      <c r="F38" s="210">
        <v>302.7</v>
      </c>
      <c r="G38" s="172" t="s">
        <v>1198</v>
      </c>
      <c r="H38" s="167" t="s">
        <v>1233</v>
      </c>
      <c r="I38" s="153" t="s">
        <v>1211</v>
      </c>
      <c r="J38" s="211" t="s">
        <v>1200</v>
      </c>
      <c r="K38" s="145"/>
      <c r="L38" s="136"/>
      <c r="M38" s="232" t="s">
        <v>1202</v>
      </c>
      <c r="N38" s="54" t="s">
        <v>1234</v>
      </c>
      <c r="O38" s="49"/>
      <c r="P38" s="174" t="s">
        <v>1203</v>
      </c>
      <c r="S38" s="23" t="e">
        <f>#REF!*1.04</f>
        <v>#REF!</v>
      </c>
    </row>
    <row r="39" spans="1:19" s="25" customFormat="1" ht="20.100000000000001" customHeight="1" x14ac:dyDescent="0.25">
      <c r="A39" s="215" t="s">
        <v>1040</v>
      </c>
      <c r="B39" s="216"/>
      <c r="C39" s="220"/>
      <c r="D39" s="220"/>
      <c r="E39" s="220"/>
      <c r="F39" s="220"/>
      <c r="G39" s="220"/>
      <c r="H39" s="229"/>
      <c r="I39" s="140"/>
      <c r="J39" s="140"/>
      <c r="K39" s="148"/>
      <c r="L39" s="140"/>
      <c r="M39" s="229"/>
      <c r="N39" s="229"/>
      <c r="O39" s="229"/>
      <c r="P39" s="230"/>
    </row>
    <row r="40" spans="1:19" s="25" customFormat="1" ht="20.100000000000001" customHeight="1" x14ac:dyDescent="0.25">
      <c r="A40" s="209" t="s">
        <v>1235</v>
      </c>
      <c r="B40" s="234" t="s">
        <v>1197</v>
      </c>
      <c r="C40" s="153"/>
      <c r="D40" s="153"/>
      <c r="E40" s="153"/>
      <c r="F40" s="210">
        <v>302.7</v>
      </c>
      <c r="G40" s="172" t="s">
        <v>1198</v>
      </c>
      <c r="H40" s="169" t="s">
        <v>1236</v>
      </c>
      <c r="I40" s="211" t="s">
        <v>1200</v>
      </c>
      <c r="J40" s="153" t="s">
        <v>1201</v>
      </c>
      <c r="K40" s="144"/>
      <c r="L40" s="135"/>
      <c r="M40" s="49" t="s">
        <v>1202</v>
      </c>
      <c r="N40" s="49"/>
      <c r="O40" s="49"/>
      <c r="P40" s="174" t="s">
        <v>1203</v>
      </c>
      <c r="S40" s="23" t="e">
        <f>#REF!*1.04</f>
        <v>#REF!</v>
      </c>
    </row>
    <row r="41" spans="1:19" s="25" customFormat="1" ht="20.100000000000001" customHeight="1" x14ac:dyDescent="0.25">
      <c r="A41" s="213" t="s">
        <v>1235</v>
      </c>
      <c r="B41" s="155" t="s">
        <v>1057</v>
      </c>
      <c r="C41" s="153"/>
      <c r="D41" s="153"/>
      <c r="E41" s="37"/>
      <c r="F41" s="210">
        <v>302.7</v>
      </c>
      <c r="G41" s="172" t="s">
        <v>1198</v>
      </c>
      <c r="H41" s="170" t="s">
        <v>1237</v>
      </c>
      <c r="I41" s="211" t="s">
        <v>1200</v>
      </c>
      <c r="J41" s="153" t="s">
        <v>1201</v>
      </c>
      <c r="K41" s="145"/>
      <c r="L41" s="136"/>
      <c r="M41" s="55" t="s">
        <v>1205</v>
      </c>
      <c r="N41" s="55"/>
      <c r="O41" s="49"/>
      <c r="P41" s="174" t="s">
        <v>1203</v>
      </c>
      <c r="S41" s="23" t="e">
        <f>#REF!*1.04</f>
        <v>#REF!</v>
      </c>
    </row>
    <row r="42" spans="1:19" s="25" customFormat="1" ht="20.100000000000001" customHeight="1" x14ac:dyDescent="0.25">
      <c r="A42" s="213" t="s">
        <v>1235</v>
      </c>
      <c r="B42" s="235" t="s">
        <v>1220</v>
      </c>
      <c r="C42" s="153"/>
      <c r="D42" s="153"/>
      <c r="E42" s="153"/>
      <c r="F42" s="210">
        <v>302.7</v>
      </c>
      <c r="G42" s="172" t="s">
        <v>1198</v>
      </c>
      <c r="H42" s="169" t="s">
        <v>1238</v>
      </c>
      <c r="I42" s="153" t="s">
        <v>1222</v>
      </c>
      <c r="J42" s="211" t="s">
        <v>1200</v>
      </c>
      <c r="K42" s="145"/>
      <c r="L42" s="136"/>
      <c r="M42" s="55" t="s">
        <v>1205</v>
      </c>
      <c r="N42" s="55"/>
      <c r="O42" s="49"/>
      <c r="P42" s="174" t="s">
        <v>1203</v>
      </c>
      <c r="S42" s="23" t="e">
        <f>#REF!*1.04</f>
        <v>#REF!</v>
      </c>
    </row>
    <row r="43" spans="1:19" s="24" customFormat="1" ht="20.100000000000001" customHeight="1" x14ac:dyDescent="0.25">
      <c r="A43" s="213" t="s">
        <v>1235</v>
      </c>
      <c r="B43" s="61" t="s">
        <v>1206</v>
      </c>
      <c r="C43" s="153"/>
      <c r="D43" s="153"/>
      <c r="E43" s="153"/>
      <c r="F43" s="210">
        <v>302.7</v>
      </c>
      <c r="G43" s="172" t="s">
        <v>1198</v>
      </c>
      <c r="H43" s="169" t="s">
        <v>1239</v>
      </c>
      <c r="I43" s="153" t="s">
        <v>1208</v>
      </c>
      <c r="J43" s="211" t="s">
        <v>1200</v>
      </c>
      <c r="K43" s="145"/>
      <c r="L43" s="136"/>
      <c r="M43" s="55" t="s">
        <v>1205</v>
      </c>
      <c r="N43" s="55"/>
      <c r="O43" s="49"/>
      <c r="P43" s="174" t="s">
        <v>1203</v>
      </c>
      <c r="S43" s="23" t="e">
        <f>#REF!*1.04</f>
        <v>#REF!</v>
      </c>
    </row>
    <row r="44" spans="1:19" s="24" customFormat="1" ht="20.100000000000001" customHeight="1" x14ac:dyDescent="0.25">
      <c r="A44" s="213" t="s">
        <v>1235</v>
      </c>
      <c r="B44" s="61" t="s">
        <v>1209</v>
      </c>
      <c r="C44" s="153"/>
      <c r="D44" s="153"/>
      <c r="E44" s="153"/>
      <c r="F44" s="210">
        <v>302.7</v>
      </c>
      <c r="G44" s="172" t="s">
        <v>1198</v>
      </c>
      <c r="H44" s="169" t="s">
        <v>1240</v>
      </c>
      <c r="I44" s="153" t="s">
        <v>1211</v>
      </c>
      <c r="J44" s="211" t="s">
        <v>1200</v>
      </c>
      <c r="K44" s="145"/>
      <c r="L44" s="136"/>
      <c r="M44" s="55" t="s">
        <v>1202</v>
      </c>
      <c r="N44" s="55"/>
      <c r="O44" s="49"/>
      <c r="P44" s="174" t="s">
        <v>1203</v>
      </c>
      <c r="S44" s="23" t="e">
        <f>#REF!*1.04</f>
        <v>#REF!</v>
      </c>
    </row>
    <row r="45" spans="1:19" s="24" customFormat="1" ht="20.100000000000001" customHeight="1" x14ac:dyDescent="0.25">
      <c r="A45" s="236" t="s">
        <v>1235</v>
      </c>
      <c r="B45" s="42" t="s">
        <v>1215</v>
      </c>
      <c r="C45" s="156"/>
      <c r="D45" s="156"/>
      <c r="E45" s="156"/>
      <c r="F45" s="210">
        <v>302.7</v>
      </c>
      <c r="G45" s="172" t="s">
        <v>1198</v>
      </c>
      <c r="H45" s="171" t="s">
        <v>1228</v>
      </c>
      <c r="I45" s="156" t="s">
        <v>1217</v>
      </c>
      <c r="J45" s="211" t="s">
        <v>1200</v>
      </c>
      <c r="K45" s="146"/>
      <c r="L45" s="137"/>
      <c r="M45" s="65" t="s">
        <v>1205</v>
      </c>
      <c r="N45" s="65"/>
      <c r="O45" s="49"/>
      <c r="P45" s="174" t="s">
        <v>1203</v>
      </c>
      <c r="S45" s="23" t="e">
        <f>#REF!*1.04</f>
        <v>#REF!</v>
      </c>
    </row>
    <row r="46" spans="1:19" s="25" customFormat="1" ht="20.100000000000001" customHeight="1" x14ac:dyDescent="0.25">
      <c r="A46" s="215" t="s">
        <v>1040</v>
      </c>
      <c r="B46" s="216"/>
      <c r="C46" s="221"/>
      <c r="D46" s="221"/>
      <c r="E46" s="221"/>
      <c r="F46" s="221"/>
      <c r="G46" s="221"/>
      <c r="H46" s="222"/>
      <c r="I46" s="139"/>
      <c r="J46" s="139"/>
      <c r="K46" s="147"/>
      <c r="L46" s="139"/>
      <c r="M46" s="222"/>
      <c r="N46" s="222"/>
      <c r="O46" s="222"/>
      <c r="P46" s="223"/>
    </row>
    <row r="47" spans="1:19" s="25" customFormat="1" ht="20.100000000000001" customHeight="1" x14ac:dyDescent="0.25">
      <c r="A47" s="237" t="s">
        <v>1241</v>
      </c>
      <c r="B47" s="48" t="s">
        <v>1197</v>
      </c>
      <c r="C47" s="153"/>
      <c r="D47" s="153"/>
      <c r="E47" s="153"/>
      <c r="F47" s="210">
        <v>302.7</v>
      </c>
      <c r="G47" s="172" t="s">
        <v>1198</v>
      </c>
      <c r="H47" s="169" t="s">
        <v>1236</v>
      </c>
      <c r="I47" s="211" t="s">
        <v>1200</v>
      </c>
      <c r="J47" s="153" t="s">
        <v>1201</v>
      </c>
      <c r="K47" s="144"/>
      <c r="L47" s="135"/>
      <c r="M47" s="49" t="s">
        <v>1202</v>
      </c>
      <c r="N47" s="49"/>
      <c r="O47" s="49"/>
      <c r="P47" s="174" t="s">
        <v>1203</v>
      </c>
      <c r="S47" s="23" t="e">
        <f>#REF!*1.04</f>
        <v>#REF!</v>
      </c>
    </row>
    <row r="48" spans="1:19" s="25" customFormat="1" ht="20.100000000000001" customHeight="1" x14ac:dyDescent="0.25">
      <c r="A48" s="225" t="s">
        <v>1241</v>
      </c>
      <c r="B48" s="226" t="s">
        <v>1057</v>
      </c>
      <c r="C48" s="153"/>
      <c r="D48" s="153"/>
      <c r="E48" s="37"/>
      <c r="F48" s="210">
        <v>302.7</v>
      </c>
      <c r="G48" s="172" t="s">
        <v>1198</v>
      </c>
      <c r="H48" s="170" t="s">
        <v>1237</v>
      </c>
      <c r="I48" s="211" t="s">
        <v>1200</v>
      </c>
      <c r="J48" s="153" t="s">
        <v>1201</v>
      </c>
      <c r="K48" s="145"/>
      <c r="L48" s="136"/>
      <c r="M48" s="55" t="s">
        <v>1205</v>
      </c>
      <c r="N48" s="55"/>
      <c r="O48" s="49"/>
      <c r="P48" s="174" t="s">
        <v>1203</v>
      </c>
      <c r="S48" s="23" t="e">
        <f>#REF!*1.04</f>
        <v>#REF!</v>
      </c>
    </row>
    <row r="49" spans="1:19" s="24" customFormat="1" ht="20.100000000000001" customHeight="1" x14ac:dyDescent="0.25">
      <c r="A49" s="225" t="s">
        <v>1241</v>
      </c>
      <c r="B49" s="61" t="s">
        <v>1206</v>
      </c>
      <c r="C49" s="153"/>
      <c r="D49" s="153"/>
      <c r="E49" s="153"/>
      <c r="F49" s="210">
        <v>302.7</v>
      </c>
      <c r="G49" s="172" t="s">
        <v>1198</v>
      </c>
      <c r="H49" s="169" t="s">
        <v>1239</v>
      </c>
      <c r="I49" s="153" t="s">
        <v>1208</v>
      </c>
      <c r="J49" s="211" t="s">
        <v>1200</v>
      </c>
      <c r="K49" s="145"/>
      <c r="L49" s="136"/>
      <c r="M49" s="55" t="s">
        <v>1205</v>
      </c>
      <c r="N49" s="55"/>
      <c r="O49" s="49"/>
      <c r="P49" s="174" t="s">
        <v>1203</v>
      </c>
      <c r="S49" s="23" t="e">
        <f>#REF!*1.04</f>
        <v>#REF!</v>
      </c>
    </row>
    <row r="50" spans="1:19" s="24" customFormat="1" ht="20.100000000000001" customHeight="1" x14ac:dyDescent="0.25">
      <c r="A50" s="225" t="s">
        <v>1241</v>
      </c>
      <c r="B50" s="61" t="s">
        <v>1209</v>
      </c>
      <c r="C50" s="153"/>
      <c r="D50" s="153"/>
      <c r="E50" s="153"/>
      <c r="F50" s="210">
        <v>302.7</v>
      </c>
      <c r="G50" s="172" t="s">
        <v>1198</v>
      </c>
      <c r="H50" s="169" t="s">
        <v>1240</v>
      </c>
      <c r="I50" s="153" t="s">
        <v>1211</v>
      </c>
      <c r="J50" s="211" t="s">
        <v>1200</v>
      </c>
      <c r="K50" s="145"/>
      <c r="L50" s="136"/>
      <c r="M50" s="55" t="s">
        <v>1205</v>
      </c>
      <c r="N50" s="55"/>
      <c r="O50" s="49"/>
      <c r="P50" s="174" t="s">
        <v>1203</v>
      </c>
      <c r="S50" s="23" t="e">
        <f>#REF!*1.04</f>
        <v>#REF!</v>
      </c>
    </row>
    <row r="51" spans="1:19" s="24" customFormat="1" ht="20.100000000000001" customHeight="1" x14ac:dyDescent="0.25">
      <c r="A51" s="225" t="s">
        <v>1241</v>
      </c>
      <c r="B51" s="160" t="s">
        <v>1212</v>
      </c>
      <c r="C51" s="153"/>
      <c r="D51" s="153"/>
      <c r="E51" s="153"/>
      <c r="F51" s="210">
        <v>302.7</v>
      </c>
      <c r="G51" s="172" t="s">
        <v>1198</v>
      </c>
      <c r="H51" s="169" t="s">
        <v>1242</v>
      </c>
      <c r="I51" s="153" t="s">
        <v>1214</v>
      </c>
      <c r="J51" s="211" t="s">
        <v>1200</v>
      </c>
      <c r="K51" s="145"/>
      <c r="L51" s="136"/>
      <c r="M51" s="55" t="s">
        <v>1202</v>
      </c>
      <c r="N51" s="55"/>
      <c r="O51" s="49"/>
      <c r="P51" s="174" t="s">
        <v>1203</v>
      </c>
      <c r="S51" s="23" t="e">
        <f>#REF!*1.04</f>
        <v>#REF!</v>
      </c>
    </row>
    <row r="52" spans="1:19" s="24" customFormat="1" ht="20.100000000000001" customHeight="1" x14ac:dyDescent="0.25">
      <c r="A52" s="238" t="s">
        <v>1241</v>
      </c>
      <c r="B52" s="42" t="s">
        <v>1215</v>
      </c>
      <c r="C52" s="156"/>
      <c r="D52" s="156"/>
      <c r="E52" s="156"/>
      <c r="F52" s="210">
        <v>302.7</v>
      </c>
      <c r="G52" s="172" t="s">
        <v>1198</v>
      </c>
      <c r="H52" s="171" t="s">
        <v>1228</v>
      </c>
      <c r="I52" s="156" t="s">
        <v>1217</v>
      </c>
      <c r="J52" s="211" t="s">
        <v>1200</v>
      </c>
      <c r="K52" s="146"/>
      <c r="L52" s="137"/>
      <c r="M52" s="65" t="s">
        <v>1205</v>
      </c>
      <c r="N52" s="65"/>
      <c r="O52" s="49"/>
      <c r="P52" s="174" t="s">
        <v>1203</v>
      </c>
      <c r="S52" s="23" t="e">
        <f>#REF!*1.04</f>
        <v>#REF!</v>
      </c>
    </row>
    <row r="53" spans="1:19" s="25" customFormat="1" ht="20.100000000000001" customHeight="1" x14ac:dyDescent="0.25">
      <c r="A53" s="215" t="s">
        <v>1040</v>
      </c>
      <c r="B53" s="216"/>
      <c r="C53" s="221"/>
      <c r="D53" s="221"/>
      <c r="E53" s="221"/>
      <c r="F53" s="221"/>
      <c r="G53" s="221"/>
      <c r="H53" s="222"/>
      <c r="I53" s="139"/>
      <c r="J53" s="139"/>
      <c r="K53" s="147"/>
      <c r="L53" s="139"/>
      <c r="M53" s="222"/>
      <c r="N53" s="222"/>
      <c r="O53" s="222"/>
      <c r="P53" s="223"/>
    </row>
    <row r="54" spans="1:19" s="24" customFormat="1" ht="20.100000000000001" customHeight="1" x14ac:dyDescent="0.25">
      <c r="A54" s="237" t="s">
        <v>1243</v>
      </c>
      <c r="B54" s="161" t="s">
        <v>1206</v>
      </c>
      <c r="C54" s="153"/>
      <c r="D54" s="153"/>
      <c r="E54" s="153"/>
      <c r="F54" s="210">
        <v>302.7</v>
      </c>
      <c r="G54" s="172" t="s">
        <v>1198</v>
      </c>
      <c r="H54" s="169" t="s">
        <v>1239</v>
      </c>
      <c r="I54" s="153" t="s">
        <v>1208</v>
      </c>
      <c r="J54" s="211" t="s">
        <v>1200</v>
      </c>
      <c r="K54" s="145"/>
      <c r="L54" s="136"/>
      <c r="M54" s="49" t="s">
        <v>1205</v>
      </c>
      <c r="N54" s="49"/>
      <c r="O54" s="49"/>
      <c r="P54" s="174" t="s">
        <v>1203</v>
      </c>
      <c r="Q54" s="18"/>
      <c r="S54" s="23" t="e">
        <f>#REF!*1.04</f>
        <v>#REF!</v>
      </c>
    </row>
    <row r="55" spans="1:19" s="24" customFormat="1" ht="20.100000000000001" customHeight="1" x14ac:dyDescent="0.25">
      <c r="A55" s="225" t="s">
        <v>1243</v>
      </c>
      <c r="B55" s="61" t="s">
        <v>1209</v>
      </c>
      <c r="C55" s="153"/>
      <c r="D55" s="153"/>
      <c r="E55" s="153"/>
      <c r="F55" s="210">
        <v>302.7</v>
      </c>
      <c r="G55" s="172" t="s">
        <v>1198</v>
      </c>
      <c r="H55" s="169" t="s">
        <v>1240</v>
      </c>
      <c r="I55" s="153" t="s">
        <v>1211</v>
      </c>
      <c r="J55" s="211" t="s">
        <v>1200</v>
      </c>
      <c r="K55" s="145"/>
      <c r="L55" s="136"/>
      <c r="M55" s="55" t="s">
        <v>1202</v>
      </c>
      <c r="N55" s="55"/>
      <c r="O55" s="49"/>
      <c r="P55" s="174" t="s">
        <v>1203</v>
      </c>
      <c r="Q55" s="18"/>
      <c r="S55" s="23" t="e">
        <f>#REF!*1.04</f>
        <v>#REF!</v>
      </c>
    </row>
    <row r="56" spans="1:19" s="24" customFormat="1" ht="20.100000000000001" customHeight="1" x14ac:dyDescent="0.25">
      <c r="A56" s="238" t="s">
        <v>1243</v>
      </c>
      <c r="B56" s="42" t="s">
        <v>1215</v>
      </c>
      <c r="C56" s="156"/>
      <c r="D56" s="156"/>
      <c r="E56" s="156"/>
      <c r="F56" s="210">
        <v>302.7</v>
      </c>
      <c r="G56" s="172" t="s">
        <v>1198</v>
      </c>
      <c r="H56" s="171" t="s">
        <v>1228</v>
      </c>
      <c r="I56" s="156" t="s">
        <v>1217</v>
      </c>
      <c r="J56" s="211" t="s">
        <v>1200</v>
      </c>
      <c r="K56" s="146"/>
      <c r="L56" s="137"/>
      <c r="M56" s="65" t="s">
        <v>1205</v>
      </c>
      <c r="N56" s="65"/>
      <c r="O56" s="49"/>
      <c r="P56" s="174" t="s">
        <v>1203</v>
      </c>
      <c r="Q56" s="18"/>
      <c r="S56" s="23" t="e">
        <f>#REF!*1.04</f>
        <v>#REF!</v>
      </c>
    </row>
    <row r="57" spans="1:19" s="25" customFormat="1" ht="20.100000000000001" customHeight="1" x14ac:dyDescent="0.25">
      <c r="A57" s="239" t="s">
        <v>1040</v>
      </c>
      <c r="B57" s="240"/>
      <c r="C57" s="241"/>
      <c r="D57" s="241"/>
      <c r="E57" s="241"/>
      <c r="F57" s="241"/>
      <c r="G57" s="241"/>
      <c r="H57" s="242"/>
      <c r="I57" s="141"/>
      <c r="J57" s="141"/>
      <c r="K57" s="149"/>
      <c r="L57" s="141"/>
      <c r="M57" s="242"/>
      <c r="N57" s="242"/>
      <c r="O57" s="242"/>
      <c r="P57" s="243"/>
    </row>
    <row r="58" spans="1:19" s="25" customFormat="1" ht="20.100000000000001" customHeight="1" x14ac:dyDescent="0.25">
      <c r="A58" s="244" t="s">
        <v>1244</v>
      </c>
      <c r="B58" s="41" t="s">
        <v>1197</v>
      </c>
      <c r="C58" s="153"/>
      <c r="D58" s="153"/>
      <c r="E58" s="153"/>
      <c r="F58" s="210">
        <v>302.7</v>
      </c>
      <c r="G58" s="172" t="s">
        <v>1198</v>
      </c>
      <c r="H58" s="169" t="s">
        <v>1236</v>
      </c>
      <c r="I58" s="211" t="s">
        <v>1200</v>
      </c>
      <c r="J58" s="153" t="s">
        <v>1201</v>
      </c>
      <c r="K58" s="144"/>
      <c r="L58" s="135"/>
      <c r="M58" s="98" t="s">
        <v>1202</v>
      </c>
      <c r="N58" s="98"/>
      <c r="O58" s="49"/>
      <c r="P58" s="174" t="s">
        <v>1203</v>
      </c>
      <c r="S58" s="23" t="e">
        <f>#REF!*1.04</f>
        <v>#REF!</v>
      </c>
    </row>
    <row r="59" spans="1:19" s="25" customFormat="1" ht="20.100000000000001" customHeight="1" x14ac:dyDescent="0.25">
      <c r="A59" s="245" t="s">
        <v>1244</v>
      </c>
      <c r="B59" s="246" t="s">
        <v>1057</v>
      </c>
      <c r="C59" s="153"/>
      <c r="D59" s="153"/>
      <c r="E59" s="37"/>
      <c r="F59" s="210">
        <v>302.7</v>
      </c>
      <c r="G59" s="172" t="s">
        <v>1198</v>
      </c>
      <c r="H59" s="170" t="s">
        <v>1237</v>
      </c>
      <c r="I59" s="211" t="s">
        <v>1200</v>
      </c>
      <c r="J59" s="153" t="s">
        <v>1201</v>
      </c>
      <c r="K59" s="145"/>
      <c r="L59" s="136"/>
      <c r="M59" s="55" t="s">
        <v>1205</v>
      </c>
      <c r="N59" s="55"/>
      <c r="O59" s="49"/>
      <c r="P59" s="174" t="s">
        <v>1203</v>
      </c>
      <c r="S59" s="23" t="e">
        <f>#REF!*1.04</f>
        <v>#REF!</v>
      </c>
    </row>
    <row r="60" spans="1:19" s="25" customFormat="1" ht="20.100000000000001" customHeight="1" x14ac:dyDescent="0.25">
      <c r="A60" s="245" t="s">
        <v>1244</v>
      </c>
      <c r="B60" s="37" t="s">
        <v>1220</v>
      </c>
      <c r="C60" s="153"/>
      <c r="D60" s="153"/>
      <c r="E60" s="153"/>
      <c r="F60" s="210">
        <v>302.7</v>
      </c>
      <c r="G60" s="172" t="s">
        <v>1198</v>
      </c>
      <c r="H60" s="169" t="s">
        <v>1238</v>
      </c>
      <c r="I60" s="153" t="s">
        <v>1222</v>
      </c>
      <c r="J60" s="211" t="s">
        <v>1200</v>
      </c>
      <c r="K60" s="145"/>
      <c r="L60" s="136"/>
      <c r="M60" s="55" t="s">
        <v>1205</v>
      </c>
      <c r="N60" s="55"/>
      <c r="O60" s="49"/>
      <c r="P60" s="174" t="s">
        <v>1203</v>
      </c>
      <c r="S60" s="23" t="e">
        <f>#REF!*1.04</f>
        <v>#REF!</v>
      </c>
    </row>
    <row r="61" spans="1:19" s="24" customFormat="1" ht="20.100000000000001" customHeight="1" x14ac:dyDescent="0.25">
      <c r="A61" s="245" t="s">
        <v>1244</v>
      </c>
      <c r="B61" s="61" t="s">
        <v>1206</v>
      </c>
      <c r="C61" s="153"/>
      <c r="D61" s="153"/>
      <c r="E61" s="153"/>
      <c r="F61" s="210">
        <v>302.7</v>
      </c>
      <c r="G61" s="172" t="s">
        <v>1198</v>
      </c>
      <c r="H61" s="169" t="s">
        <v>1239</v>
      </c>
      <c r="I61" s="153" t="s">
        <v>1208</v>
      </c>
      <c r="J61" s="211" t="s">
        <v>1200</v>
      </c>
      <c r="K61" s="145"/>
      <c r="L61" s="136"/>
      <c r="M61" s="55" t="s">
        <v>1205</v>
      </c>
      <c r="N61" s="55"/>
      <c r="O61" s="49"/>
      <c r="P61" s="174" t="s">
        <v>1203</v>
      </c>
      <c r="S61" s="23" t="e">
        <f>#REF!*1.04</f>
        <v>#REF!</v>
      </c>
    </row>
    <row r="62" spans="1:19" s="24" customFormat="1" ht="20.100000000000001" customHeight="1" x14ac:dyDescent="0.25">
      <c r="A62" s="245" t="s">
        <v>1244</v>
      </c>
      <c r="B62" s="61" t="s">
        <v>1209</v>
      </c>
      <c r="C62" s="153"/>
      <c r="D62" s="153"/>
      <c r="E62" s="153"/>
      <c r="F62" s="210">
        <v>302.7</v>
      </c>
      <c r="G62" s="172" t="s">
        <v>1198</v>
      </c>
      <c r="H62" s="169" t="s">
        <v>1240</v>
      </c>
      <c r="I62" s="153" t="s">
        <v>1211</v>
      </c>
      <c r="J62" s="211" t="s">
        <v>1200</v>
      </c>
      <c r="K62" s="145"/>
      <c r="L62" s="136"/>
      <c r="M62" s="55" t="s">
        <v>1205</v>
      </c>
      <c r="N62" s="55"/>
      <c r="O62" s="49"/>
      <c r="P62" s="174" t="s">
        <v>1203</v>
      </c>
      <c r="S62" s="23" t="e">
        <f>#REF!*1.04</f>
        <v>#REF!</v>
      </c>
    </row>
    <row r="63" spans="1:19" s="24" customFormat="1" ht="20.100000000000001" customHeight="1" x14ac:dyDescent="0.25">
      <c r="A63" s="245" t="s">
        <v>1244</v>
      </c>
      <c r="B63" s="61" t="s">
        <v>1212</v>
      </c>
      <c r="C63" s="153"/>
      <c r="D63" s="153"/>
      <c r="E63" s="153"/>
      <c r="F63" s="210">
        <v>302.7</v>
      </c>
      <c r="G63" s="172" t="s">
        <v>1198</v>
      </c>
      <c r="H63" s="169" t="s">
        <v>1242</v>
      </c>
      <c r="I63" s="153" t="s">
        <v>1214</v>
      </c>
      <c r="J63" s="211" t="s">
        <v>1200</v>
      </c>
      <c r="K63" s="145"/>
      <c r="L63" s="136"/>
      <c r="M63" s="55" t="s">
        <v>1202</v>
      </c>
      <c r="N63" s="55"/>
      <c r="O63" s="49"/>
      <c r="P63" s="174" t="s">
        <v>1203</v>
      </c>
      <c r="S63" s="23" t="e">
        <f>#REF!*1.04</f>
        <v>#REF!</v>
      </c>
    </row>
    <row r="64" spans="1:19" s="24" customFormat="1" ht="20.100000000000001" customHeight="1" x14ac:dyDescent="0.25">
      <c r="A64" s="247" t="s">
        <v>1244</v>
      </c>
      <c r="B64" s="86" t="s">
        <v>1215</v>
      </c>
      <c r="C64" s="156"/>
      <c r="D64" s="156"/>
      <c r="E64" s="156"/>
      <c r="F64" s="210">
        <v>302.7</v>
      </c>
      <c r="G64" s="172" t="s">
        <v>1198</v>
      </c>
      <c r="H64" s="171" t="s">
        <v>1228</v>
      </c>
      <c r="I64" s="156" t="s">
        <v>1217</v>
      </c>
      <c r="J64" s="211" t="s">
        <v>1200</v>
      </c>
      <c r="K64" s="146"/>
      <c r="L64" s="137"/>
      <c r="M64" s="88" t="s">
        <v>1205</v>
      </c>
      <c r="N64" s="88"/>
      <c r="O64" s="49"/>
      <c r="P64" s="174" t="s">
        <v>1203</v>
      </c>
      <c r="S64" s="23" t="e">
        <f>#REF!*1.04</f>
        <v>#REF!</v>
      </c>
    </row>
    <row r="65" spans="1:19" s="25" customFormat="1" ht="20.100000000000001" customHeight="1" x14ac:dyDescent="0.25">
      <c r="A65" s="239" t="s">
        <v>1040</v>
      </c>
      <c r="B65" s="240"/>
      <c r="C65" s="248"/>
      <c r="D65" s="248"/>
      <c r="E65" s="248"/>
      <c r="F65" s="248"/>
      <c r="G65" s="248"/>
      <c r="H65" s="249"/>
      <c r="I65" s="142"/>
      <c r="J65" s="142"/>
      <c r="K65" s="149"/>
      <c r="L65" s="142"/>
      <c r="M65" s="249"/>
      <c r="N65" s="249"/>
      <c r="O65" s="249"/>
      <c r="P65" s="250"/>
    </row>
    <row r="66" spans="1:19" s="25" customFormat="1" ht="20.100000000000001" customHeight="1" x14ac:dyDescent="0.25">
      <c r="A66" s="251" t="s">
        <v>1245</v>
      </c>
      <c r="B66" s="162" t="s">
        <v>1197</v>
      </c>
      <c r="C66" s="153"/>
      <c r="D66" s="153"/>
      <c r="E66" s="153"/>
      <c r="F66" s="210">
        <v>302.7</v>
      </c>
      <c r="G66" s="172" t="s">
        <v>1198</v>
      </c>
      <c r="H66" s="167" t="s">
        <v>1246</v>
      </c>
      <c r="I66" s="211" t="s">
        <v>1200</v>
      </c>
      <c r="J66" s="153" t="s">
        <v>1201</v>
      </c>
      <c r="K66" s="144"/>
      <c r="L66" s="135"/>
      <c r="M66" s="49" t="s">
        <v>1205</v>
      </c>
      <c r="N66" s="48" t="s">
        <v>1247</v>
      </c>
      <c r="O66" s="49"/>
      <c r="P66" s="174" t="s">
        <v>1203</v>
      </c>
      <c r="S66" s="23" t="e">
        <f>#REF!*1.04</f>
        <v>#REF!</v>
      </c>
    </row>
    <row r="67" spans="1:19" s="25" customFormat="1" ht="20.100000000000001" customHeight="1" x14ac:dyDescent="0.25">
      <c r="A67" s="252" t="s">
        <v>1245</v>
      </c>
      <c r="B67" s="42" t="s">
        <v>1215</v>
      </c>
      <c r="C67" s="156"/>
      <c r="D67" s="156"/>
      <c r="E67" s="156"/>
      <c r="F67" s="210">
        <v>302.7</v>
      </c>
      <c r="G67" s="172" t="s">
        <v>1198</v>
      </c>
      <c r="H67" s="167" t="s">
        <v>1230</v>
      </c>
      <c r="I67" s="156" t="s">
        <v>1217</v>
      </c>
      <c r="J67" s="211" t="s">
        <v>1200</v>
      </c>
      <c r="K67" s="146"/>
      <c r="L67" s="137"/>
      <c r="M67" s="65" t="s">
        <v>1205</v>
      </c>
      <c r="N67" s="48" t="s">
        <v>1247</v>
      </c>
      <c r="O67" s="49"/>
      <c r="P67" s="174" t="s">
        <v>1203</v>
      </c>
      <c r="S67" s="23" t="e">
        <f>#REF!*1.04</f>
        <v>#REF!</v>
      </c>
    </row>
    <row r="68" spans="1:19" s="25" customFormat="1" ht="20.100000000000001" customHeight="1" x14ac:dyDescent="0.25">
      <c r="A68" s="215" t="s">
        <v>1040</v>
      </c>
      <c r="B68" s="216"/>
      <c r="C68" s="253"/>
      <c r="D68" s="253"/>
      <c r="E68" s="253"/>
      <c r="F68" s="253"/>
      <c r="G68" s="253"/>
      <c r="H68" s="253"/>
      <c r="I68" s="143"/>
      <c r="J68" s="143"/>
      <c r="K68" s="150"/>
      <c r="L68" s="143"/>
      <c r="M68" s="253"/>
      <c r="N68" s="253"/>
      <c r="O68" s="253"/>
      <c r="P68" s="254"/>
    </row>
    <row r="69" spans="1:19" s="25" customFormat="1" ht="20.100000000000001" customHeight="1" x14ac:dyDescent="0.25">
      <c r="A69" s="209" t="s">
        <v>1248</v>
      </c>
      <c r="B69" s="255" t="s">
        <v>1057</v>
      </c>
      <c r="C69" s="153"/>
      <c r="D69" s="153"/>
      <c r="E69" s="37"/>
      <c r="F69" s="210">
        <v>302.7</v>
      </c>
      <c r="G69" s="172" t="s">
        <v>1198</v>
      </c>
      <c r="H69" s="170" t="s">
        <v>1237</v>
      </c>
      <c r="I69" s="211" t="s">
        <v>1200</v>
      </c>
      <c r="J69" s="153" t="s">
        <v>1201</v>
      </c>
      <c r="K69" s="145"/>
      <c r="L69" s="136"/>
      <c r="M69" s="49" t="s">
        <v>1205</v>
      </c>
      <c r="N69" s="49"/>
      <c r="O69" s="49"/>
      <c r="P69" s="174" t="s">
        <v>1203</v>
      </c>
      <c r="S69" s="23" t="e">
        <f>#REF!*1.04</f>
        <v>#REF!</v>
      </c>
    </row>
    <row r="70" spans="1:19" s="25" customFormat="1" ht="20.100000000000001" customHeight="1" x14ac:dyDescent="0.25">
      <c r="A70" s="213" t="s">
        <v>1248</v>
      </c>
      <c r="B70" s="163" t="s">
        <v>1249</v>
      </c>
      <c r="C70" s="153"/>
      <c r="D70" s="153"/>
      <c r="E70" s="153"/>
      <c r="F70" s="210">
        <v>302.7</v>
      </c>
      <c r="G70" s="172" t="s">
        <v>1198</v>
      </c>
      <c r="H70" s="169" t="s">
        <v>1239</v>
      </c>
      <c r="I70" s="153" t="s">
        <v>1208</v>
      </c>
      <c r="J70" s="211" t="s">
        <v>1200</v>
      </c>
      <c r="K70" s="145"/>
      <c r="L70" s="136"/>
      <c r="M70" s="55" t="s">
        <v>1205</v>
      </c>
      <c r="N70" s="55"/>
      <c r="O70" s="49"/>
      <c r="P70" s="174" t="s">
        <v>1203</v>
      </c>
      <c r="S70" s="23" t="e">
        <f>#REF!*1.04</f>
        <v>#REF!</v>
      </c>
    </row>
    <row r="71" spans="1:19" s="25" customFormat="1" ht="20.100000000000001" customHeight="1" x14ac:dyDescent="0.25">
      <c r="A71" s="214" t="s">
        <v>1248</v>
      </c>
      <c r="B71" s="164" t="s">
        <v>1215</v>
      </c>
      <c r="C71" s="156"/>
      <c r="D71" s="156"/>
      <c r="E71" s="156"/>
      <c r="F71" s="210">
        <v>302.7</v>
      </c>
      <c r="G71" s="172" t="s">
        <v>1198</v>
      </c>
      <c r="H71" s="171" t="s">
        <v>1228</v>
      </c>
      <c r="I71" s="156" t="s">
        <v>1217</v>
      </c>
      <c r="J71" s="211" t="s">
        <v>1200</v>
      </c>
      <c r="K71" s="146"/>
      <c r="L71" s="137"/>
      <c r="M71" s="65" t="s">
        <v>1205</v>
      </c>
      <c r="N71" s="65"/>
      <c r="O71" s="49"/>
      <c r="P71" s="174" t="s">
        <v>1203</v>
      </c>
      <c r="S71" s="23" t="e">
        <f>#REF!*1.04</f>
        <v>#REF!</v>
      </c>
    </row>
    <row r="72" spans="1:19" s="25" customFormat="1" ht="20.100000000000001" customHeight="1" x14ac:dyDescent="0.25">
      <c r="A72" s="215" t="s">
        <v>1040</v>
      </c>
      <c r="B72" s="216"/>
      <c r="C72" s="253"/>
      <c r="D72" s="253"/>
      <c r="E72" s="253"/>
      <c r="F72" s="253"/>
      <c r="G72" s="253"/>
      <c r="H72" s="253"/>
      <c r="I72" s="143"/>
      <c r="J72" s="143"/>
      <c r="K72" s="150"/>
      <c r="L72" s="143"/>
      <c r="M72" s="253"/>
      <c r="N72" s="253"/>
      <c r="O72" s="253"/>
      <c r="P72" s="254"/>
    </row>
    <row r="73" spans="1:19" s="25" customFormat="1" ht="20.100000000000001" customHeight="1" x14ac:dyDescent="0.25">
      <c r="A73" s="256" t="s">
        <v>1250</v>
      </c>
      <c r="B73" s="257" t="s">
        <v>1209</v>
      </c>
      <c r="C73" s="153"/>
      <c r="D73" s="153"/>
      <c r="E73" s="153"/>
      <c r="F73" s="210">
        <v>302.7</v>
      </c>
      <c r="G73" s="172" t="s">
        <v>1198</v>
      </c>
      <c r="H73" s="169" t="s">
        <v>1240</v>
      </c>
      <c r="I73" s="153" t="s">
        <v>1211</v>
      </c>
      <c r="J73" s="211" t="s">
        <v>1200</v>
      </c>
      <c r="K73" s="145"/>
      <c r="L73" s="136"/>
      <c r="M73" s="232" t="s">
        <v>1205</v>
      </c>
      <c r="N73" s="232"/>
      <c r="O73" s="49"/>
      <c r="P73" s="174" t="s">
        <v>1203</v>
      </c>
      <c r="S73" s="23" t="e">
        <f>#REF!*1.04</f>
        <v>#REF!</v>
      </c>
    </row>
    <row r="74" spans="1:19" s="25" customFormat="1" ht="20.100000000000001" customHeight="1" x14ac:dyDescent="0.25">
      <c r="A74" s="258" t="s">
        <v>1040</v>
      </c>
      <c r="B74" s="259"/>
      <c r="C74" s="260"/>
      <c r="D74" s="260"/>
      <c r="E74" s="260"/>
      <c r="F74" s="260"/>
      <c r="G74" s="260"/>
      <c r="H74" s="260"/>
      <c r="I74" s="165"/>
      <c r="J74" s="165"/>
      <c r="K74" s="190"/>
      <c r="L74" s="260"/>
      <c r="M74" s="260"/>
      <c r="N74" s="260"/>
      <c r="O74" s="260"/>
      <c r="P74" s="261"/>
    </row>
    <row r="75" spans="1:19" s="24" customFormat="1" ht="20.100000000000001" customHeight="1" x14ac:dyDescent="0.25">
      <c r="A75" s="239" t="s">
        <v>1251</v>
      </c>
      <c r="B75" s="262"/>
      <c r="C75" s="263"/>
      <c r="D75" s="263"/>
      <c r="E75" s="263"/>
      <c r="F75" s="263"/>
      <c r="G75" s="263"/>
      <c r="H75" s="263"/>
      <c r="I75" s="166"/>
      <c r="J75" s="166"/>
      <c r="K75" s="191"/>
      <c r="L75" s="263"/>
      <c r="M75" s="263"/>
      <c r="N75" s="263"/>
      <c r="O75" s="263"/>
      <c r="P75" s="264"/>
    </row>
    <row r="76" spans="1:19" ht="31.5" customHeight="1" x14ac:dyDescent="0.25">
      <c r="A76" s="595" t="s">
        <v>1252</v>
      </c>
      <c r="B76" s="595"/>
      <c r="C76" s="595"/>
      <c r="D76" s="595"/>
      <c r="E76" s="595"/>
      <c r="F76" s="595"/>
      <c r="G76" s="595"/>
      <c r="H76" s="595"/>
      <c r="I76" s="595"/>
      <c r="J76" s="595"/>
      <c r="K76" s="595"/>
      <c r="L76" s="595"/>
      <c r="M76" s="595"/>
      <c r="N76" s="595"/>
      <c r="O76" s="595"/>
      <c r="P76" s="595"/>
    </row>
    <row r="77" spans="1:19" ht="18" customHeight="1" x14ac:dyDescent="0.25">
      <c r="A77" s="595" t="s">
        <v>1253</v>
      </c>
      <c r="B77" s="595"/>
      <c r="C77" s="595"/>
      <c r="D77" s="595"/>
      <c r="E77" s="595"/>
      <c r="F77" s="595"/>
      <c r="G77" s="595"/>
      <c r="H77" s="595"/>
      <c r="I77" s="595"/>
      <c r="J77" s="595"/>
      <c r="K77" s="595"/>
      <c r="L77" s="595"/>
      <c r="M77" s="595"/>
      <c r="N77" s="595"/>
      <c r="O77" s="595"/>
      <c r="P77" s="595"/>
    </row>
    <row r="78" spans="1:19" ht="20.25" customHeight="1" x14ac:dyDescent="0.25">
      <c r="A78" s="595" t="s">
        <v>1254</v>
      </c>
      <c r="B78" s="595"/>
      <c r="C78" s="595"/>
      <c r="D78" s="595"/>
      <c r="E78" s="595"/>
      <c r="F78" s="595"/>
      <c r="G78" s="595"/>
      <c r="H78" s="595"/>
      <c r="I78" s="595"/>
      <c r="J78" s="595"/>
      <c r="K78" s="595"/>
      <c r="L78" s="595"/>
      <c r="M78" s="595"/>
      <c r="N78" s="595"/>
      <c r="O78" s="595"/>
      <c r="P78" s="595"/>
    </row>
  </sheetData>
  <autoFilter ref="A3:T78" xr:uid="{00000000-0001-0000-0100-000000000000}">
    <filterColumn colId="10" showButton="0"/>
  </autoFilter>
  <mergeCells count="20">
    <mergeCell ref="A2:P2"/>
    <mergeCell ref="I3:I4"/>
    <mergeCell ref="J3:J4"/>
    <mergeCell ref="K3:L3"/>
    <mergeCell ref="M3:M4"/>
    <mergeCell ref="O3:O4"/>
    <mergeCell ref="D3:D4"/>
    <mergeCell ref="E3:E4"/>
    <mergeCell ref="G3:G4"/>
    <mergeCell ref="H3:H4"/>
    <mergeCell ref="A3:A4"/>
    <mergeCell ref="B3:B4"/>
    <mergeCell ref="P3:P4"/>
    <mergeCell ref="S3:S4"/>
    <mergeCell ref="A76:P76"/>
    <mergeCell ref="A77:P77"/>
    <mergeCell ref="A78:P78"/>
    <mergeCell ref="C3:C4"/>
    <mergeCell ref="N3:N4"/>
    <mergeCell ref="F3:F4"/>
  </mergeCells>
  <phoneticPr fontId="7" type="noConversion"/>
  <pageMargins left="0.51181102362204722" right="0.51181102362204722" top="0.39370078740157483" bottom="0.39370078740157483" header="0.31496062992125984" footer="0.31496062992125984"/>
  <pageSetup paperSize="9" scale="63" fitToHeight="0" orientation="portrait"/>
  <rowBreaks count="1" manualBreakCount="1">
    <brk id="39" max="16383" man="1"/>
  </rowBreaks>
  <colBreaks count="2" manualBreakCount="2">
    <brk id="16" max="1048575" man="1"/>
    <brk id="17" max="1048575" man="1"/>
  </colBreak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E29F-F112-4698-A4BF-3AB8C107A75B}">
  <dimension ref="A1:F20"/>
  <sheetViews>
    <sheetView workbookViewId="0">
      <selection activeCell="K7" sqref="K7"/>
    </sheetView>
  </sheetViews>
  <sheetFormatPr defaultRowHeight="15" x14ac:dyDescent="0.25"/>
  <cols>
    <col min="1" max="1" width="27.42578125" customWidth="1"/>
    <col min="2" max="2" width="17" customWidth="1"/>
    <col min="3" max="3" width="18" customWidth="1"/>
    <col min="4" max="4" width="26" customWidth="1"/>
    <col min="5" max="5" width="21.5703125" customWidth="1"/>
    <col min="6" max="6" width="26" customWidth="1"/>
  </cols>
  <sheetData>
    <row r="1" spans="1:6" ht="20.25" customHeight="1" x14ac:dyDescent="0.25">
      <c r="A1" s="620" t="s">
        <v>1255</v>
      </c>
      <c r="B1" s="620"/>
      <c r="C1" s="620"/>
      <c r="D1" s="620"/>
      <c r="E1" s="620"/>
    </row>
    <row r="2" spans="1:6" x14ac:dyDescent="0.25">
      <c r="A2" s="180" t="s">
        <v>1036</v>
      </c>
      <c r="B2" s="183" t="s">
        <v>1256</v>
      </c>
      <c r="C2" s="183" t="s">
        <v>1257</v>
      </c>
      <c r="D2" s="183" t="s">
        <v>1258</v>
      </c>
      <c r="E2" s="183" t="s">
        <v>1259</v>
      </c>
      <c r="F2" s="183" t="s">
        <v>1260</v>
      </c>
    </row>
    <row r="3" spans="1:6" ht="15" customHeight="1" x14ac:dyDescent="0.25">
      <c r="A3" s="179" t="s">
        <v>1197</v>
      </c>
      <c r="B3" s="265" t="s">
        <v>1236</v>
      </c>
      <c r="C3" s="265" t="s">
        <v>1261</v>
      </c>
      <c r="D3" s="265" t="s">
        <v>1262</v>
      </c>
      <c r="E3" s="177" t="s">
        <v>1263</v>
      </c>
      <c r="F3" s="265" t="s">
        <v>1264</v>
      </c>
    </row>
    <row r="4" spans="1:6" ht="15" customHeight="1" x14ac:dyDescent="0.25">
      <c r="A4" s="179" t="s">
        <v>1057</v>
      </c>
      <c r="B4" s="265" t="s">
        <v>1237</v>
      </c>
      <c r="C4" s="265" t="s">
        <v>1265</v>
      </c>
      <c r="D4" s="265" t="s">
        <v>1266</v>
      </c>
      <c r="E4" s="177" t="s">
        <v>1267</v>
      </c>
      <c r="F4" s="265" t="s">
        <v>1268</v>
      </c>
    </row>
    <row r="5" spans="1:6" ht="15" customHeight="1" x14ac:dyDescent="0.25">
      <c r="A5" s="179" t="s">
        <v>1220</v>
      </c>
      <c r="B5" s="265" t="s">
        <v>1238</v>
      </c>
      <c r="C5" s="265" t="s">
        <v>1269</v>
      </c>
      <c r="D5" s="265" t="s">
        <v>1270</v>
      </c>
      <c r="E5" s="177" t="s">
        <v>1271</v>
      </c>
      <c r="F5" s="265" t="s">
        <v>1272</v>
      </c>
    </row>
    <row r="6" spans="1:6" ht="15" customHeight="1" x14ac:dyDescent="0.25">
      <c r="A6" s="178" t="s">
        <v>1225</v>
      </c>
      <c r="B6" s="265" t="s">
        <v>1273</v>
      </c>
      <c r="C6" s="265" t="s">
        <v>1274</v>
      </c>
      <c r="D6" s="265" t="s">
        <v>1275</v>
      </c>
      <c r="E6" s="177" t="s">
        <v>1276</v>
      </c>
      <c r="F6" s="265" t="s">
        <v>1277</v>
      </c>
    </row>
    <row r="7" spans="1:6" ht="15" customHeight="1" x14ac:dyDescent="0.25">
      <c r="A7" s="178" t="s">
        <v>1206</v>
      </c>
      <c r="B7" s="265" t="s">
        <v>1239</v>
      </c>
      <c r="C7" s="265" t="s">
        <v>1278</v>
      </c>
      <c r="D7" s="265" t="s">
        <v>1279</v>
      </c>
      <c r="E7" s="177" t="s">
        <v>1280</v>
      </c>
      <c r="F7" s="265" t="s">
        <v>1281</v>
      </c>
    </row>
    <row r="8" spans="1:6" ht="15" customHeight="1" x14ac:dyDescent="0.25">
      <c r="A8" s="178" t="s">
        <v>1209</v>
      </c>
      <c r="B8" s="265" t="s">
        <v>1240</v>
      </c>
      <c r="C8" s="265" t="s">
        <v>1282</v>
      </c>
      <c r="D8" s="265" t="s">
        <v>1283</v>
      </c>
      <c r="E8" s="177" t="s">
        <v>1284</v>
      </c>
      <c r="F8" s="265" t="s">
        <v>1285</v>
      </c>
    </row>
    <row r="9" spans="1:6" ht="15" customHeight="1" x14ac:dyDescent="0.25">
      <c r="A9" s="178" t="s">
        <v>1212</v>
      </c>
      <c r="B9" s="265" t="s">
        <v>1242</v>
      </c>
      <c r="C9" s="265" t="s">
        <v>1286</v>
      </c>
      <c r="D9" s="265" t="s">
        <v>1287</v>
      </c>
      <c r="E9" s="177" t="s">
        <v>1288</v>
      </c>
      <c r="F9" s="265" t="s">
        <v>1289</v>
      </c>
    </row>
    <row r="10" spans="1:6" ht="15" customHeight="1" x14ac:dyDescent="0.25">
      <c r="A10" s="176" t="s">
        <v>1215</v>
      </c>
      <c r="B10" s="265" t="s">
        <v>1228</v>
      </c>
      <c r="C10" s="265" t="s">
        <v>1290</v>
      </c>
      <c r="D10" s="265" t="s">
        <v>1291</v>
      </c>
      <c r="E10" s="177" t="s">
        <v>1292</v>
      </c>
      <c r="F10" s="265" t="s">
        <v>1293</v>
      </c>
    </row>
    <row r="11" spans="1:6" ht="15" customHeight="1" x14ac:dyDescent="0.25"/>
    <row r="13" spans="1:6" x14ac:dyDescent="0.25">
      <c r="A13" s="621" t="s">
        <v>1294</v>
      </c>
      <c r="B13" s="621"/>
      <c r="C13" s="621"/>
      <c r="D13" s="621"/>
    </row>
    <row r="14" spans="1:6" x14ac:dyDescent="0.25">
      <c r="A14" s="187" t="s">
        <v>1036</v>
      </c>
      <c r="B14" s="188" t="s">
        <v>1256</v>
      </c>
      <c r="C14" s="188" t="s">
        <v>1257</v>
      </c>
      <c r="D14" s="188" t="s">
        <v>1259</v>
      </c>
      <c r="E14" s="189" t="s">
        <v>1260</v>
      </c>
    </row>
    <row r="15" spans="1:6" x14ac:dyDescent="0.25">
      <c r="A15" s="184" t="s">
        <v>1295</v>
      </c>
      <c r="B15" s="175">
        <v>99189</v>
      </c>
      <c r="C15" s="175" t="s">
        <v>1296</v>
      </c>
      <c r="D15" s="182" t="s">
        <v>1297</v>
      </c>
      <c r="E15" s="175" t="s">
        <v>1298</v>
      </c>
    </row>
    <row r="16" spans="1:6" x14ac:dyDescent="0.25">
      <c r="A16" s="181" t="s">
        <v>1249</v>
      </c>
      <c r="B16" s="175">
        <v>99190</v>
      </c>
      <c r="C16" s="173" t="s">
        <v>1299</v>
      </c>
      <c r="D16" s="182" t="s">
        <v>1300</v>
      </c>
      <c r="E16" s="175" t="s">
        <v>1301</v>
      </c>
    </row>
    <row r="17" spans="1:5" x14ac:dyDescent="0.25">
      <c r="A17" s="181" t="s">
        <v>1249</v>
      </c>
      <c r="B17" s="175">
        <v>99191</v>
      </c>
      <c r="C17" s="175" t="s">
        <v>1302</v>
      </c>
      <c r="D17" s="182" t="s">
        <v>1303</v>
      </c>
      <c r="E17" s="175" t="s">
        <v>1304</v>
      </c>
    </row>
    <row r="18" spans="1:5" x14ac:dyDescent="0.25">
      <c r="A18" s="185" t="s">
        <v>1209</v>
      </c>
      <c r="B18" s="175">
        <v>99193</v>
      </c>
      <c r="C18" s="175" t="s">
        <v>1305</v>
      </c>
      <c r="D18" s="182" t="s">
        <v>1306</v>
      </c>
      <c r="E18" s="175" t="s">
        <v>1307</v>
      </c>
    </row>
    <row r="19" spans="1:5" x14ac:dyDescent="0.25">
      <c r="A19" s="186" t="s">
        <v>1060</v>
      </c>
      <c r="B19" s="175">
        <v>99194</v>
      </c>
      <c r="C19" s="175" t="s">
        <v>1308</v>
      </c>
      <c r="D19" s="182" t="s">
        <v>1309</v>
      </c>
      <c r="E19" s="175" t="s">
        <v>1310</v>
      </c>
    </row>
    <row r="20" spans="1:5" x14ac:dyDescent="0.25">
      <c r="A20" s="186" t="s">
        <v>1311</v>
      </c>
      <c r="B20" s="175">
        <v>99195</v>
      </c>
      <c r="C20" s="175" t="s">
        <v>1312</v>
      </c>
      <c r="D20" s="182" t="s">
        <v>1313</v>
      </c>
      <c r="E20" s="175" t="s">
        <v>1314</v>
      </c>
    </row>
  </sheetData>
  <mergeCells count="2">
    <mergeCell ref="A1:E1"/>
    <mergeCell ref="A13:D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08CB-9E78-49F6-8817-435809AB5D20}">
  <sheetPr>
    <pageSetUpPr fitToPage="1"/>
  </sheetPr>
  <dimension ref="A1:AC66"/>
  <sheetViews>
    <sheetView showGridLines="0" zoomScaleNormal="100" zoomScaleSheetLayoutView="70" workbookViewId="0">
      <selection activeCell="A32" sqref="A32:A51"/>
    </sheetView>
  </sheetViews>
  <sheetFormatPr defaultColWidth="9.140625" defaultRowHeight="15.75" x14ac:dyDescent="0.25"/>
  <cols>
    <col min="1" max="1" width="14.85546875" style="5" customWidth="1"/>
    <col min="2" max="2" width="19" style="9" customWidth="1"/>
    <col min="3" max="3" width="11.5703125" style="1" customWidth="1"/>
    <col min="4" max="6" width="6.42578125" style="1" customWidth="1"/>
    <col min="7" max="7" width="9.5703125" style="31" hidden="1" customWidth="1"/>
    <col min="8" max="8" width="10.5703125" style="31" customWidth="1"/>
    <col min="9" max="9" width="10.5703125" style="32" customWidth="1"/>
    <col min="10" max="10" width="20.85546875" style="32" customWidth="1"/>
    <col min="11" max="11" width="11.5703125" style="2" customWidth="1"/>
    <col min="12" max="12" width="9.140625" style="33" hidden="1" customWidth="1"/>
    <col min="13" max="15" width="9.140625" style="2" hidden="1" customWidth="1"/>
    <col min="16" max="16" width="9.140625" style="2"/>
    <col min="17" max="17" width="10.5703125" style="33" hidden="1" customWidth="1"/>
    <col min="18" max="16384" width="9.140625" style="2"/>
  </cols>
  <sheetData>
    <row r="1" spans="1:29" ht="32.1" customHeight="1" thickBot="1" x14ac:dyDescent="0.3">
      <c r="A1" s="615" t="s">
        <v>1315</v>
      </c>
      <c r="B1" s="622" t="s">
        <v>1036</v>
      </c>
      <c r="C1" s="615" t="s">
        <v>1037</v>
      </c>
      <c r="D1" s="624" t="s">
        <v>1038</v>
      </c>
      <c r="E1" s="625"/>
      <c r="F1" s="626"/>
      <c r="G1" s="627" t="s">
        <v>1316</v>
      </c>
      <c r="H1" s="628"/>
      <c r="I1" s="628"/>
      <c r="J1" s="46" t="e">
        <f>#REF!</f>
        <v>#REF!</v>
      </c>
      <c r="K1" s="593" t="s">
        <v>1190</v>
      </c>
      <c r="L1" s="10"/>
      <c r="Q1" s="10"/>
      <c r="T1" s="5"/>
      <c r="U1" s="9"/>
      <c r="V1" s="1"/>
      <c r="W1" s="1"/>
      <c r="X1" s="1"/>
      <c r="Y1" s="1"/>
      <c r="Z1" s="31"/>
      <c r="AA1" s="31"/>
      <c r="AB1" s="32"/>
      <c r="AC1" s="32"/>
    </row>
    <row r="2" spans="1:29" ht="54" customHeight="1" thickBot="1" x14ac:dyDescent="0.3">
      <c r="A2" s="616"/>
      <c r="B2" s="623"/>
      <c r="C2" s="616"/>
      <c r="D2" s="44" t="s">
        <v>1040</v>
      </c>
      <c r="E2" s="44" t="s">
        <v>1041</v>
      </c>
      <c r="F2" s="44" t="s">
        <v>1042</v>
      </c>
      <c r="G2" s="45" t="s">
        <v>1317</v>
      </c>
      <c r="H2" s="34" t="str">
        <f>G2</f>
        <v>VALOR *</v>
      </c>
      <c r="I2" s="34" t="s">
        <v>1318</v>
      </c>
      <c r="J2" s="34" t="s">
        <v>1319</v>
      </c>
      <c r="K2" s="617"/>
      <c r="L2" s="10"/>
      <c r="Q2" s="10"/>
      <c r="T2" s="5"/>
      <c r="U2" s="9"/>
      <c r="V2" s="1"/>
      <c r="W2" s="1"/>
      <c r="X2" s="1"/>
      <c r="Y2" s="1"/>
      <c r="Z2" s="31"/>
      <c r="AA2" s="31"/>
      <c r="AB2" s="32"/>
      <c r="AC2" s="32"/>
    </row>
    <row r="3" spans="1:29" s="18" customFormat="1" ht="15.95" customHeight="1" x14ac:dyDescent="0.25">
      <c r="A3" s="629" t="s">
        <v>1241</v>
      </c>
      <c r="B3" s="48" t="s">
        <v>1197</v>
      </c>
      <c r="C3" s="49" t="s">
        <v>1058</v>
      </c>
      <c r="D3" s="49">
        <f t="shared" ref="D3:D17" si="0">+E3+F3</f>
        <v>45</v>
      </c>
      <c r="E3" s="49">
        <v>5</v>
      </c>
      <c r="F3" s="49">
        <v>40</v>
      </c>
      <c r="G3" s="76">
        <v>447.51</v>
      </c>
      <c r="H3" s="51">
        <f t="shared" ref="H3:H22" si="1">Q3</f>
        <v>465.41039999999998</v>
      </c>
      <c r="I3" s="52">
        <f t="shared" ref="I3:I21" si="2">H3*60%</f>
        <v>279.24624</v>
      </c>
      <c r="J3" s="52">
        <f t="shared" ref="J3:J17" si="3">H3*90%</f>
        <v>418.86935999999997</v>
      </c>
      <c r="K3" s="53" t="s">
        <v>1202</v>
      </c>
      <c r="L3" s="16">
        <v>426.2</v>
      </c>
      <c r="M3" s="15">
        <v>1.05</v>
      </c>
      <c r="N3" s="17">
        <f t="shared" ref="N3:N21" si="4">L3*M3</f>
        <v>447.51</v>
      </c>
      <c r="O3" s="17">
        <f>N3-G3</f>
        <v>0</v>
      </c>
      <c r="P3" s="15"/>
      <c r="Q3" s="10">
        <f t="shared" ref="Q3:Q17" si="5">G3*1.04</f>
        <v>465.41039999999998</v>
      </c>
      <c r="T3" s="5"/>
      <c r="U3" s="9"/>
      <c r="V3" s="1"/>
      <c r="W3" s="1"/>
      <c r="X3" s="1"/>
      <c r="Y3" s="1"/>
      <c r="Z3" s="31"/>
      <c r="AA3" s="31"/>
      <c r="AB3" s="32"/>
      <c r="AC3" s="32"/>
    </row>
    <row r="4" spans="1:29" s="18" customFormat="1" ht="15.95" customHeight="1" x14ac:dyDescent="0.25">
      <c r="A4" s="630"/>
      <c r="B4" s="37" t="s">
        <v>1295</v>
      </c>
      <c r="C4" s="55" t="s">
        <v>1058</v>
      </c>
      <c r="D4" s="55">
        <f t="shared" si="0"/>
        <v>45</v>
      </c>
      <c r="E4" s="55">
        <v>5</v>
      </c>
      <c r="F4" s="55">
        <v>40</v>
      </c>
      <c r="G4" s="56">
        <v>469.93</v>
      </c>
      <c r="H4" s="56">
        <f t="shared" si="1"/>
        <v>488.72720000000004</v>
      </c>
      <c r="I4" s="57">
        <f t="shared" si="2"/>
        <v>293.23632000000003</v>
      </c>
      <c r="J4" s="57">
        <f t="shared" si="3"/>
        <v>439.85448000000002</v>
      </c>
      <c r="K4" s="72" t="s">
        <v>1205</v>
      </c>
      <c r="L4" s="16">
        <v>447.55</v>
      </c>
      <c r="M4" s="15">
        <v>1.05</v>
      </c>
      <c r="N4" s="17">
        <f t="shared" si="4"/>
        <v>469.92750000000001</v>
      </c>
      <c r="O4" s="17">
        <f t="shared" ref="O4:O46" si="6">N4-G4</f>
        <v>-2.4999999999977263E-3</v>
      </c>
      <c r="P4" s="15"/>
      <c r="Q4" s="10">
        <f t="shared" si="5"/>
        <v>488.72720000000004</v>
      </c>
      <c r="T4" s="5"/>
      <c r="U4" s="9"/>
      <c r="V4" s="1"/>
      <c r="W4" s="1"/>
      <c r="X4" s="1"/>
      <c r="Y4" s="1"/>
      <c r="Z4" s="31"/>
      <c r="AA4" s="31"/>
      <c r="AB4" s="32"/>
      <c r="AC4" s="32"/>
    </row>
    <row r="5" spans="1:29" s="18" customFormat="1" ht="15.95" customHeight="1" x14ac:dyDescent="0.25">
      <c r="A5" s="630"/>
      <c r="B5" s="632" t="s">
        <v>1057</v>
      </c>
      <c r="C5" s="55" t="s">
        <v>1056</v>
      </c>
      <c r="D5" s="55">
        <f t="shared" si="0"/>
        <v>45</v>
      </c>
      <c r="E5" s="55">
        <v>5</v>
      </c>
      <c r="F5" s="55">
        <v>40</v>
      </c>
      <c r="G5" s="56">
        <v>439.69799999999998</v>
      </c>
      <c r="H5" s="56">
        <f t="shared" si="1"/>
        <v>457.28591999999998</v>
      </c>
      <c r="I5" s="57">
        <f t="shared" si="2"/>
        <v>274.37155199999995</v>
      </c>
      <c r="J5" s="57">
        <f t="shared" si="3"/>
        <v>411.55732799999998</v>
      </c>
      <c r="K5" s="72" t="s">
        <v>1205</v>
      </c>
      <c r="L5" s="16">
        <v>418.76</v>
      </c>
      <c r="M5" s="15">
        <v>1.05</v>
      </c>
      <c r="N5" s="17">
        <f t="shared" si="4"/>
        <v>439.69800000000004</v>
      </c>
      <c r="O5" s="17">
        <f t="shared" si="6"/>
        <v>0</v>
      </c>
      <c r="P5" s="15"/>
      <c r="Q5" s="10">
        <f t="shared" si="5"/>
        <v>457.28591999999998</v>
      </c>
      <c r="T5" s="5"/>
      <c r="U5" s="9"/>
      <c r="V5" s="1"/>
      <c r="W5" s="1"/>
      <c r="X5" s="1"/>
      <c r="Y5" s="1"/>
      <c r="Z5" s="31"/>
      <c r="AA5" s="31"/>
      <c r="AB5" s="32"/>
      <c r="AC5" s="32"/>
    </row>
    <row r="6" spans="1:29" s="18" customFormat="1" ht="15.95" customHeight="1" x14ac:dyDescent="0.25">
      <c r="A6" s="630"/>
      <c r="B6" s="632"/>
      <c r="C6" s="55" t="s">
        <v>1320</v>
      </c>
      <c r="D6" s="55">
        <f t="shared" si="0"/>
        <v>45</v>
      </c>
      <c r="E6" s="55">
        <v>5</v>
      </c>
      <c r="F6" s="55">
        <v>40</v>
      </c>
      <c r="G6" s="56">
        <v>373.7475</v>
      </c>
      <c r="H6" s="56">
        <f t="shared" si="1"/>
        <v>388.69740000000002</v>
      </c>
      <c r="I6" s="57">
        <f t="shared" si="2"/>
        <v>233.21843999999999</v>
      </c>
      <c r="J6" s="57">
        <f t="shared" si="3"/>
        <v>349.82766000000004</v>
      </c>
      <c r="K6" s="72" t="s">
        <v>1205</v>
      </c>
      <c r="L6" s="16">
        <v>355.95</v>
      </c>
      <c r="M6" s="15">
        <v>1.05</v>
      </c>
      <c r="N6" s="17">
        <f t="shared" si="4"/>
        <v>373.7475</v>
      </c>
      <c r="O6" s="17">
        <f t="shared" si="6"/>
        <v>0</v>
      </c>
      <c r="P6" s="15"/>
      <c r="Q6" s="10">
        <f t="shared" si="5"/>
        <v>388.69740000000002</v>
      </c>
      <c r="T6" s="5"/>
      <c r="U6" s="9"/>
      <c r="V6" s="1"/>
      <c r="W6" s="1"/>
      <c r="X6" s="1"/>
      <c r="Y6" s="1"/>
      <c r="Z6" s="31"/>
      <c r="AA6" s="31"/>
      <c r="AB6" s="32"/>
      <c r="AC6" s="32"/>
    </row>
    <row r="7" spans="1:29" s="18" customFormat="1" ht="15.95" customHeight="1" x14ac:dyDescent="0.25">
      <c r="A7" s="630"/>
      <c r="B7" s="632"/>
      <c r="C7" s="55" t="s">
        <v>1058</v>
      </c>
      <c r="D7" s="55">
        <f t="shared" si="0"/>
        <v>45</v>
      </c>
      <c r="E7" s="55">
        <v>5</v>
      </c>
      <c r="F7" s="55">
        <v>40</v>
      </c>
      <c r="G7" s="56">
        <v>469.93</v>
      </c>
      <c r="H7" s="56">
        <f t="shared" si="1"/>
        <v>488.72720000000004</v>
      </c>
      <c r="I7" s="57">
        <f t="shared" si="2"/>
        <v>293.23632000000003</v>
      </c>
      <c r="J7" s="57">
        <f t="shared" si="3"/>
        <v>439.85448000000002</v>
      </c>
      <c r="K7" s="72" t="s">
        <v>1205</v>
      </c>
      <c r="L7" s="16">
        <f>L4</f>
        <v>447.55</v>
      </c>
      <c r="M7" s="15">
        <v>1.05</v>
      </c>
      <c r="N7" s="17">
        <f t="shared" si="4"/>
        <v>469.92750000000001</v>
      </c>
      <c r="O7" s="17">
        <f t="shared" si="6"/>
        <v>-2.4999999999977263E-3</v>
      </c>
      <c r="P7" s="15"/>
      <c r="Q7" s="10">
        <f t="shared" si="5"/>
        <v>488.72720000000004</v>
      </c>
      <c r="T7" s="5"/>
      <c r="U7" s="9"/>
      <c r="V7" s="1"/>
      <c r="W7" s="1"/>
      <c r="X7" s="1"/>
      <c r="Y7" s="1"/>
      <c r="Z7" s="31"/>
      <c r="AA7" s="31"/>
      <c r="AB7" s="32"/>
      <c r="AC7" s="32"/>
    </row>
    <row r="8" spans="1:29" s="18" customFormat="1" ht="15.95" customHeight="1" x14ac:dyDescent="0.25">
      <c r="A8" s="630"/>
      <c r="B8" s="633" t="s">
        <v>1249</v>
      </c>
      <c r="C8" s="55" t="s">
        <v>1321</v>
      </c>
      <c r="D8" s="55">
        <f>+E8+F8</f>
        <v>45</v>
      </c>
      <c r="E8" s="55">
        <v>5</v>
      </c>
      <c r="F8" s="55">
        <v>40</v>
      </c>
      <c r="G8" s="56">
        <v>373.75</v>
      </c>
      <c r="H8" s="56">
        <f t="shared" si="1"/>
        <v>388.7</v>
      </c>
      <c r="I8" s="57">
        <f t="shared" si="2"/>
        <v>233.21999999999997</v>
      </c>
      <c r="J8" s="57">
        <f t="shared" si="3"/>
        <v>349.83</v>
      </c>
      <c r="K8" s="72" t="s">
        <v>1205</v>
      </c>
      <c r="L8" s="16">
        <v>418.76</v>
      </c>
      <c r="M8" s="15">
        <v>1.05</v>
      </c>
      <c r="N8" s="17">
        <f t="shared" si="4"/>
        <v>439.69800000000004</v>
      </c>
      <c r="O8" s="17">
        <f t="shared" si="6"/>
        <v>65.948000000000036</v>
      </c>
      <c r="P8" s="15"/>
      <c r="Q8" s="10">
        <f t="shared" si="5"/>
        <v>388.7</v>
      </c>
      <c r="T8" s="5"/>
      <c r="U8" s="9"/>
      <c r="V8" s="1"/>
      <c r="W8" s="1"/>
      <c r="X8" s="1"/>
      <c r="Y8" s="1"/>
      <c r="Z8" s="31"/>
      <c r="AA8" s="31"/>
      <c r="AB8" s="32"/>
      <c r="AC8" s="32"/>
    </row>
    <row r="9" spans="1:29" s="18" customFormat="1" ht="15.95" customHeight="1" x14ac:dyDescent="0.25">
      <c r="A9" s="630"/>
      <c r="B9" s="633"/>
      <c r="C9" s="55" t="s">
        <v>1058</v>
      </c>
      <c r="D9" s="55">
        <f>+E9+F9</f>
        <v>45</v>
      </c>
      <c r="E9" s="55">
        <v>5</v>
      </c>
      <c r="F9" s="55">
        <v>40</v>
      </c>
      <c r="G9" s="56">
        <v>480.92099999999999</v>
      </c>
      <c r="H9" s="56">
        <f t="shared" si="1"/>
        <v>500.15784000000002</v>
      </c>
      <c r="I9" s="57">
        <f t="shared" si="2"/>
        <v>300.09470399999998</v>
      </c>
      <c r="J9" s="57">
        <f t="shared" si="3"/>
        <v>450.14205600000003</v>
      </c>
      <c r="K9" s="72" t="s">
        <v>1205</v>
      </c>
      <c r="L9" s="16">
        <v>458.02</v>
      </c>
      <c r="M9" s="15">
        <v>1.05</v>
      </c>
      <c r="N9" s="17">
        <f t="shared" si="4"/>
        <v>480.92099999999999</v>
      </c>
      <c r="O9" s="17">
        <f t="shared" si="6"/>
        <v>0</v>
      </c>
      <c r="P9" s="15"/>
      <c r="Q9" s="10">
        <f t="shared" si="5"/>
        <v>500.15784000000002</v>
      </c>
      <c r="T9" s="5"/>
      <c r="U9" s="9"/>
      <c r="V9" s="1"/>
      <c r="W9" s="1"/>
      <c r="X9" s="1"/>
      <c r="Y9" s="1"/>
      <c r="Z9" s="31"/>
      <c r="AA9" s="31"/>
      <c r="AB9" s="32"/>
      <c r="AC9" s="32"/>
    </row>
    <row r="10" spans="1:29" s="18" customFormat="1" ht="15.95" customHeight="1" x14ac:dyDescent="0.25">
      <c r="A10" s="630"/>
      <c r="B10" s="633" t="s">
        <v>1209</v>
      </c>
      <c r="C10" s="55" t="s">
        <v>1056</v>
      </c>
      <c r="D10" s="55">
        <f>+E10+F10</f>
        <v>45</v>
      </c>
      <c r="E10" s="55">
        <v>5</v>
      </c>
      <c r="F10" s="55">
        <v>40</v>
      </c>
      <c r="G10" s="56">
        <v>480.92099999999999</v>
      </c>
      <c r="H10" s="56">
        <f t="shared" si="1"/>
        <v>500.15784000000002</v>
      </c>
      <c r="I10" s="57">
        <f t="shared" si="2"/>
        <v>300.09470399999998</v>
      </c>
      <c r="J10" s="57">
        <f t="shared" si="3"/>
        <v>450.14205600000003</v>
      </c>
      <c r="K10" s="72" t="s">
        <v>1205</v>
      </c>
      <c r="L10" s="16">
        <v>389.31</v>
      </c>
      <c r="M10" s="15">
        <v>1.05</v>
      </c>
      <c r="N10" s="17">
        <f t="shared" si="4"/>
        <v>408.77550000000002</v>
      </c>
      <c r="O10" s="17">
        <f t="shared" si="6"/>
        <v>-72.14549999999997</v>
      </c>
      <c r="P10" s="15"/>
      <c r="Q10" s="10">
        <f t="shared" si="5"/>
        <v>500.15784000000002</v>
      </c>
      <c r="T10" s="5"/>
      <c r="U10" s="9"/>
      <c r="V10" s="1"/>
      <c r="W10" s="1"/>
      <c r="X10" s="1"/>
      <c r="Y10" s="1"/>
      <c r="Z10" s="31"/>
      <c r="AA10" s="31"/>
      <c r="AB10" s="32"/>
      <c r="AC10" s="32"/>
    </row>
    <row r="11" spans="1:29" s="18" customFormat="1" ht="15.95" customHeight="1" x14ac:dyDescent="0.25">
      <c r="A11" s="630"/>
      <c r="B11" s="633"/>
      <c r="C11" s="55" t="s">
        <v>1058</v>
      </c>
      <c r="D11" s="55">
        <f t="shared" si="0"/>
        <v>45</v>
      </c>
      <c r="E11" s="55">
        <v>5</v>
      </c>
      <c r="F11" s="55">
        <v>40</v>
      </c>
      <c r="G11" s="56">
        <v>515.27700000000004</v>
      </c>
      <c r="H11" s="56">
        <f t="shared" si="1"/>
        <v>535.88808000000006</v>
      </c>
      <c r="I11" s="57">
        <f t="shared" si="2"/>
        <v>321.532848</v>
      </c>
      <c r="J11" s="57">
        <f t="shared" si="3"/>
        <v>482.29927200000009</v>
      </c>
      <c r="K11" s="72" t="s">
        <v>1205</v>
      </c>
      <c r="L11" s="16">
        <v>490.74</v>
      </c>
      <c r="M11" s="15">
        <v>1.05</v>
      </c>
      <c r="N11" s="17">
        <f t="shared" si="4"/>
        <v>515.27700000000004</v>
      </c>
      <c r="O11" s="17">
        <f t="shared" si="6"/>
        <v>0</v>
      </c>
      <c r="P11" s="15"/>
      <c r="Q11" s="10">
        <f t="shared" si="5"/>
        <v>535.88808000000006</v>
      </c>
    </row>
    <row r="12" spans="1:29" s="18" customFormat="1" ht="15.95" customHeight="1" x14ac:dyDescent="0.25">
      <c r="A12" s="630"/>
      <c r="B12" s="62" t="s">
        <v>1212</v>
      </c>
      <c r="C12" s="55" t="s">
        <v>1058</v>
      </c>
      <c r="D12" s="55">
        <f t="shared" si="0"/>
        <v>45</v>
      </c>
      <c r="E12" s="55">
        <v>5</v>
      </c>
      <c r="F12" s="55">
        <v>40</v>
      </c>
      <c r="G12" s="56">
        <v>483.67199999999997</v>
      </c>
      <c r="H12" s="56">
        <f t="shared" si="1"/>
        <v>503.01887999999997</v>
      </c>
      <c r="I12" s="57">
        <f t="shared" si="2"/>
        <v>301.81132799999995</v>
      </c>
      <c r="J12" s="57">
        <f t="shared" si="3"/>
        <v>452.716992</v>
      </c>
      <c r="K12" s="58" t="s">
        <v>1202</v>
      </c>
      <c r="L12" s="16">
        <v>460.64</v>
      </c>
      <c r="M12" s="15">
        <v>1.05</v>
      </c>
      <c r="N12" s="17">
        <f t="shared" si="4"/>
        <v>483.67200000000003</v>
      </c>
      <c r="O12" s="17">
        <f t="shared" si="6"/>
        <v>0</v>
      </c>
      <c r="P12" s="15"/>
      <c r="Q12" s="10">
        <f t="shared" si="5"/>
        <v>503.01887999999997</v>
      </c>
    </row>
    <row r="13" spans="1:29" s="18" customFormat="1" ht="15.95" customHeight="1" x14ac:dyDescent="0.25">
      <c r="A13" s="630"/>
      <c r="B13" s="633" t="s">
        <v>1065</v>
      </c>
      <c r="C13" s="55" t="s">
        <v>1056</v>
      </c>
      <c r="D13" s="55">
        <f t="shared" si="0"/>
        <v>45</v>
      </c>
      <c r="E13" s="55">
        <v>5</v>
      </c>
      <c r="F13" s="55">
        <v>40</v>
      </c>
      <c r="G13" s="56">
        <v>480.92099999999999</v>
      </c>
      <c r="H13" s="56">
        <f t="shared" si="1"/>
        <v>500.15784000000002</v>
      </c>
      <c r="I13" s="57">
        <f t="shared" si="2"/>
        <v>300.09470399999998</v>
      </c>
      <c r="J13" s="57">
        <f t="shared" si="3"/>
        <v>450.14205600000003</v>
      </c>
      <c r="K13" s="72" t="s">
        <v>1205</v>
      </c>
      <c r="L13" s="28">
        <v>458.02</v>
      </c>
      <c r="M13" s="18">
        <v>1.05</v>
      </c>
      <c r="N13" s="29">
        <f t="shared" si="4"/>
        <v>480.92099999999999</v>
      </c>
      <c r="O13" s="29">
        <f t="shared" si="6"/>
        <v>0</v>
      </c>
      <c r="Q13" s="30">
        <f t="shared" si="5"/>
        <v>500.15784000000002</v>
      </c>
    </row>
    <row r="14" spans="1:29" s="18" customFormat="1" ht="15.95" customHeight="1" x14ac:dyDescent="0.25">
      <c r="A14" s="630"/>
      <c r="B14" s="633"/>
      <c r="C14" s="55" t="s">
        <v>1321</v>
      </c>
      <c r="D14" s="55">
        <f t="shared" si="0"/>
        <v>45</v>
      </c>
      <c r="E14" s="55">
        <v>5</v>
      </c>
      <c r="F14" s="55">
        <v>40</v>
      </c>
      <c r="G14" s="56">
        <v>408.78</v>
      </c>
      <c r="H14" s="56">
        <f t="shared" si="1"/>
        <v>425.13119999999998</v>
      </c>
      <c r="I14" s="57">
        <f t="shared" si="2"/>
        <v>255.07871999999998</v>
      </c>
      <c r="J14" s="57">
        <f t="shared" si="3"/>
        <v>382.61807999999996</v>
      </c>
      <c r="K14" s="72" t="s">
        <v>1205</v>
      </c>
      <c r="L14" s="16">
        <v>490.74</v>
      </c>
      <c r="M14" s="15">
        <v>1.05</v>
      </c>
      <c r="N14" s="17">
        <f t="shared" si="4"/>
        <v>515.27700000000004</v>
      </c>
      <c r="O14" s="17">
        <f t="shared" si="6"/>
        <v>106.49700000000007</v>
      </c>
      <c r="P14" s="15"/>
      <c r="Q14" s="10">
        <f t="shared" si="5"/>
        <v>425.13119999999998</v>
      </c>
    </row>
    <row r="15" spans="1:29" s="18" customFormat="1" ht="15.95" customHeight="1" x14ac:dyDescent="0.25">
      <c r="A15" s="630"/>
      <c r="B15" s="61" t="s">
        <v>1311</v>
      </c>
      <c r="C15" s="55" t="s">
        <v>1058</v>
      </c>
      <c r="D15" s="55">
        <f t="shared" si="0"/>
        <v>45</v>
      </c>
      <c r="E15" s="55">
        <v>5</v>
      </c>
      <c r="F15" s="55">
        <v>40</v>
      </c>
      <c r="G15" s="56">
        <v>469.93</v>
      </c>
      <c r="H15" s="56">
        <f t="shared" si="1"/>
        <v>488.72720000000004</v>
      </c>
      <c r="I15" s="57">
        <f t="shared" si="2"/>
        <v>293.23632000000003</v>
      </c>
      <c r="J15" s="57">
        <f t="shared" si="3"/>
        <v>439.85448000000002</v>
      </c>
      <c r="K15" s="72" t="s">
        <v>1205</v>
      </c>
      <c r="L15" s="16">
        <v>447.55</v>
      </c>
      <c r="M15" s="15">
        <v>1.05</v>
      </c>
      <c r="N15" s="17">
        <f t="shared" si="4"/>
        <v>469.92750000000001</v>
      </c>
      <c r="O15" s="17">
        <f t="shared" si="6"/>
        <v>-2.4999999999977263E-3</v>
      </c>
      <c r="P15" s="15"/>
      <c r="Q15" s="10">
        <f t="shared" si="5"/>
        <v>488.72720000000004</v>
      </c>
    </row>
    <row r="16" spans="1:29" s="18" customFormat="1" ht="27.6" customHeight="1" x14ac:dyDescent="0.25">
      <c r="A16" s="630"/>
      <c r="B16" s="54" t="s">
        <v>1322</v>
      </c>
      <c r="C16" s="55" t="s">
        <v>1058</v>
      </c>
      <c r="D16" s="55">
        <f t="shared" si="0"/>
        <v>45</v>
      </c>
      <c r="E16" s="55">
        <v>5</v>
      </c>
      <c r="F16" s="55">
        <v>40</v>
      </c>
      <c r="G16" s="63">
        <v>515.27700000000004</v>
      </c>
      <c r="H16" s="56">
        <f t="shared" si="1"/>
        <v>535.88808000000006</v>
      </c>
      <c r="I16" s="57">
        <f t="shared" si="2"/>
        <v>321.532848</v>
      </c>
      <c r="J16" s="57">
        <f t="shared" si="3"/>
        <v>482.29927200000009</v>
      </c>
      <c r="K16" s="72" t="s">
        <v>1205</v>
      </c>
      <c r="L16" s="16">
        <v>490.74</v>
      </c>
      <c r="M16" s="15">
        <v>1.05</v>
      </c>
      <c r="N16" s="17">
        <f t="shared" si="4"/>
        <v>515.27700000000004</v>
      </c>
      <c r="O16" s="17">
        <f t="shared" si="6"/>
        <v>0</v>
      </c>
      <c r="P16" s="15"/>
      <c r="Q16" s="10">
        <f t="shared" si="5"/>
        <v>535.88808000000006</v>
      </c>
    </row>
    <row r="17" spans="1:17" s="21" customFormat="1" ht="30.95" customHeight="1" thickBot="1" x14ac:dyDescent="0.3">
      <c r="A17" s="631"/>
      <c r="B17" s="77" t="s">
        <v>1215</v>
      </c>
      <c r="C17" s="65" t="s">
        <v>1058</v>
      </c>
      <c r="D17" s="65">
        <f t="shared" si="0"/>
        <v>45</v>
      </c>
      <c r="E17" s="65">
        <v>5</v>
      </c>
      <c r="F17" s="65">
        <v>40</v>
      </c>
      <c r="G17" s="56">
        <v>469.93</v>
      </c>
      <c r="H17" s="50">
        <f t="shared" si="1"/>
        <v>488.72720000000004</v>
      </c>
      <c r="I17" s="66">
        <f t="shared" si="2"/>
        <v>293.23632000000003</v>
      </c>
      <c r="J17" s="66">
        <f t="shared" si="3"/>
        <v>439.85448000000002</v>
      </c>
      <c r="K17" s="73" t="s">
        <v>1205</v>
      </c>
      <c r="L17" s="20">
        <f>L15</f>
        <v>447.55</v>
      </c>
      <c r="M17" s="15">
        <v>1.05</v>
      </c>
      <c r="N17" s="17">
        <f t="shared" si="4"/>
        <v>469.92750000000001</v>
      </c>
      <c r="O17" s="17">
        <f t="shared" si="6"/>
        <v>-2.4999999999977263E-3</v>
      </c>
      <c r="P17" s="19"/>
      <c r="Q17" s="10">
        <f t="shared" si="5"/>
        <v>488.72720000000004</v>
      </c>
    </row>
    <row r="18" spans="1:17" ht="16.5" thickBot="1" x14ac:dyDescent="0.3">
      <c r="A18" s="634" t="s">
        <v>1323</v>
      </c>
      <c r="B18" s="635"/>
      <c r="C18" s="636"/>
      <c r="D18" s="104">
        <f>+E18+F18</f>
        <v>675</v>
      </c>
      <c r="E18" s="68">
        <f>SUM(E3:E17)</f>
        <v>75</v>
      </c>
      <c r="F18" s="105">
        <f>SUM(F3:F17)</f>
        <v>600</v>
      </c>
      <c r="G18" s="637"/>
      <c r="H18" s="637"/>
      <c r="I18" s="638"/>
      <c r="J18" s="638"/>
      <c r="K18" s="639"/>
      <c r="L18" s="11"/>
      <c r="M18" s="8">
        <v>1.05</v>
      </c>
      <c r="N18" s="12">
        <f t="shared" si="4"/>
        <v>0</v>
      </c>
      <c r="O18" s="12">
        <f t="shared" si="6"/>
        <v>0</v>
      </c>
      <c r="P18" s="8"/>
      <c r="Q18" s="11"/>
    </row>
    <row r="19" spans="1:17" s="18" customFormat="1" ht="30.75" thickBot="1" x14ac:dyDescent="0.3">
      <c r="A19" s="78" t="s">
        <v>1324</v>
      </c>
      <c r="B19" s="79" t="s">
        <v>1325</v>
      </c>
      <c r="C19" s="80" t="s">
        <v>1058</v>
      </c>
      <c r="D19" s="93">
        <f t="shared" ref="D19:D60" si="7">+E19+F19</f>
        <v>40</v>
      </c>
      <c r="E19" s="81">
        <v>20</v>
      </c>
      <c r="F19" s="81">
        <v>20</v>
      </c>
      <c r="G19" s="63">
        <v>439.7</v>
      </c>
      <c r="H19" s="82">
        <f t="shared" si="1"/>
        <v>457.28800000000001</v>
      </c>
      <c r="I19" s="83">
        <f t="shared" si="2"/>
        <v>274.37279999999998</v>
      </c>
      <c r="J19" s="83">
        <f t="shared" ref="J19" si="8">H19*90%</f>
        <v>411.55920000000003</v>
      </c>
      <c r="K19" s="58" t="s">
        <v>1202</v>
      </c>
      <c r="L19" s="16">
        <v>418.76</v>
      </c>
      <c r="M19" s="15">
        <v>1.05</v>
      </c>
      <c r="N19" s="17">
        <f t="shared" si="4"/>
        <v>439.69800000000004</v>
      </c>
      <c r="O19" s="17">
        <f t="shared" si="6"/>
        <v>-1.9999999999527063E-3</v>
      </c>
      <c r="P19" s="15"/>
      <c r="Q19" s="10">
        <f>G19*1.04</f>
        <v>457.28800000000001</v>
      </c>
    </row>
    <row r="20" spans="1:17" s="18" customFormat="1" ht="16.5" thickBot="1" x14ac:dyDescent="0.3">
      <c r="A20" s="84"/>
      <c r="B20" s="85" t="s">
        <v>1040</v>
      </c>
      <c r="C20" s="27"/>
      <c r="D20" s="47">
        <f>SUM(E20:F20)</f>
        <v>40</v>
      </c>
      <c r="E20" s="47">
        <f>E19</f>
        <v>20</v>
      </c>
      <c r="F20" s="47">
        <f>F19</f>
        <v>20</v>
      </c>
      <c r="G20" s="640"/>
      <c r="H20" s="640"/>
      <c r="I20" s="640"/>
      <c r="J20" s="640"/>
      <c r="K20" s="641"/>
      <c r="L20" s="16"/>
      <c r="M20" s="15">
        <v>1.05</v>
      </c>
      <c r="N20" s="17">
        <f t="shared" si="4"/>
        <v>0</v>
      </c>
      <c r="O20" s="17">
        <f t="shared" si="6"/>
        <v>0</v>
      </c>
      <c r="P20" s="15"/>
      <c r="Q20" s="16"/>
    </row>
    <row r="21" spans="1:17" s="18" customFormat="1" ht="17.100000000000001" customHeight="1" x14ac:dyDescent="0.25">
      <c r="A21" s="629" t="s">
        <v>1054</v>
      </c>
      <c r="B21" s="48" t="s">
        <v>1055</v>
      </c>
      <c r="C21" s="49" t="s">
        <v>1056</v>
      </c>
      <c r="D21" s="98">
        <f t="shared" si="7"/>
        <v>40</v>
      </c>
      <c r="E21" s="49">
        <v>10</v>
      </c>
      <c r="F21" s="49">
        <v>30</v>
      </c>
      <c r="G21" s="52">
        <v>563.37</v>
      </c>
      <c r="H21" s="51">
        <f t="shared" si="1"/>
        <v>585.90480000000002</v>
      </c>
      <c r="I21" s="52">
        <f t="shared" si="2"/>
        <v>351.54288000000003</v>
      </c>
      <c r="J21" s="52">
        <f t="shared" ref="J21:J30" si="9">H21*90%</f>
        <v>527.31432000000007</v>
      </c>
      <c r="K21" s="74" t="s">
        <v>1205</v>
      </c>
      <c r="L21" s="16">
        <v>536.53</v>
      </c>
      <c r="M21" s="15">
        <v>1.05</v>
      </c>
      <c r="N21" s="17">
        <f t="shared" si="4"/>
        <v>563.35649999999998</v>
      </c>
      <c r="O21" s="17">
        <f t="shared" si="6"/>
        <v>-1.3500000000021828E-2</v>
      </c>
      <c r="Q21" s="10">
        <f t="shared" ref="Q21:Q30" si="10">G21*1.04</f>
        <v>585.90480000000002</v>
      </c>
    </row>
    <row r="22" spans="1:17" s="18" customFormat="1" ht="30.6" customHeight="1" x14ac:dyDescent="0.25">
      <c r="A22" s="630"/>
      <c r="B22" s="37" t="s">
        <v>1057</v>
      </c>
      <c r="C22" s="60" t="s">
        <v>1058</v>
      </c>
      <c r="D22" s="55">
        <f t="shared" si="7"/>
        <v>40</v>
      </c>
      <c r="E22" s="60">
        <v>2</v>
      </c>
      <c r="F22" s="55">
        <v>38</v>
      </c>
      <c r="G22" s="56">
        <v>469.93</v>
      </c>
      <c r="H22" s="56">
        <f t="shared" si="1"/>
        <v>488.72720000000004</v>
      </c>
      <c r="I22" s="57">
        <f t="shared" ref="I22:I59" si="11">H22*60%</f>
        <v>293.23632000000003</v>
      </c>
      <c r="J22" s="57">
        <f t="shared" si="9"/>
        <v>439.85448000000002</v>
      </c>
      <c r="K22" s="72" t="s">
        <v>1205</v>
      </c>
      <c r="L22" s="16">
        <v>447.55</v>
      </c>
      <c r="M22" s="15">
        <v>1.05</v>
      </c>
      <c r="N22" s="17">
        <f t="shared" ref="N22:N64" si="12">L22*M22</f>
        <v>469.92750000000001</v>
      </c>
      <c r="O22" s="17">
        <f t="shared" si="6"/>
        <v>-2.4999999999977263E-3</v>
      </c>
      <c r="P22" s="15"/>
      <c r="Q22" s="10">
        <f t="shared" si="10"/>
        <v>488.72720000000004</v>
      </c>
    </row>
    <row r="23" spans="1:17" s="18" customFormat="1" ht="17.100000000000001" customHeight="1" x14ac:dyDescent="0.25">
      <c r="A23" s="630"/>
      <c r="B23" s="61" t="s">
        <v>1059</v>
      </c>
      <c r="C23" s="60" t="s">
        <v>1058</v>
      </c>
      <c r="D23" s="55">
        <f t="shared" si="7"/>
        <v>42</v>
      </c>
      <c r="E23" s="60">
        <v>5</v>
      </c>
      <c r="F23" s="55">
        <v>37</v>
      </c>
      <c r="G23" s="56">
        <v>515.27700000000004</v>
      </c>
      <c r="H23" s="56">
        <f t="shared" ref="H23:H30" si="13">Q23</f>
        <v>535.88808000000006</v>
      </c>
      <c r="I23" s="57">
        <f t="shared" si="11"/>
        <v>321.532848</v>
      </c>
      <c r="J23" s="57">
        <f t="shared" si="9"/>
        <v>482.29927200000009</v>
      </c>
      <c r="K23" s="72" t="s">
        <v>1205</v>
      </c>
      <c r="L23" s="16">
        <v>490.74</v>
      </c>
      <c r="M23" s="15">
        <v>1.05</v>
      </c>
      <c r="N23" s="17">
        <f t="shared" si="12"/>
        <v>515.27700000000004</v>
      </c>
      <c r="O23" s="17">
        <f t="shared" si="6"/>
        <v>0</v>
      </c>
      <c r="P23" s="15"/>
      <c r="Q23" s="10">
        <f t="shared" si="10"/>
        <v>535.88808000000006</v>
      </c>
    </row>
    <row r="24" spans="1:17" s="18" customFormat="1" ht="17.45" customHeight="1" x14ac:dyDescent="0.25">
      <c r="A24" s="630"/>
      <c r="B24" s="61" t="s">
        <v>1060</v>
      </c>
      <c r="C24" s="60" t="s">
        <v>1058</v>
      </c>
      <c r="D24" s="55">
        <f t="shared" si="7"/>
        <v>42</v>
      </c>
      <c r="E24" s="60">
        <v>10</v>
      </c>
      <c r="F24" s="55">
        <v>32</v>
      </c>
      <c r="G24" s="56">
        <v>483.67199999999997</v>
      </c>
      <c r="H24" s="56">
        <f t="shared" si="13"/>
        <v>503.01887999999997</v>
      </c>
      <c r="I24" s="57">
        <f t="shared" si="11"/>
        <v>301.81132799999995</v>
      </c>
      <c r="J24" s="57">
        <f t="shared" si="9"/>
        <v>452.716992</v>
      </c>
      <c r="K24" s="58" t="s">
        <v>1202</v>
      </c>
      <c r="L24" s="16">
        <v>460.64</v>
      </c>
      <c r="M24" s="15">
        <v>1.05</v>
      </c>
      <c r="N24" s="17">
        <f t="shared" si="12"/>
        <v>483.67200000000003</v>
      </c>
      <c r="O24" s="17">
        <f t="shared" si="6"/>
        <v>0</v>
      </c>
      <c r="P24" s="15"/>
      <c r="Q24" s="10">
        <f t="shared" si="10"/>
        <v>503.01887999999997</v>
      </c>
    </row>
    <row r="25" spans="1:17" s="18" customFormat="1" ht="30.95" customHeight="1" x14ac:dyDescent="0.25">
      <c r="A25" s="630"/>
      <c r="B25" s="37" t="s">
        <v>1061</v>
      </c>
      <c r="C25" s="60" t="s">
        <v>1058</v>
      </c>
      <c r="D25" s="55">
        <f t="shared" si="7"/>
        <v>42</v>
      </c>
      <c r="E25" s="60">
        <v>5</v>
      </c>
      <c r="F25" s="55">
        <v>37</v>
      </c>
      <c r="G25" s="56">
        <v>515.27700000000004</v>
      </c>
      <c r="H25" s="56">
        <f t="shared" si="13"/>
        <v>535.88808000000006</v>
      </c>
      <c r="I25" s="57">
        <f t="shared" si="11"/>
        <v>321.532848</v>
      </c>
      <c r="J25" s="57">
        <f t="shared" si="9"/>
        <v>482.29927200000009</v>
      </c>
      <c r="K25" s="72" t="s">
        <v>1205</v>
      </c>
      <c r="L25" s="16">
        <v>490.74</v>
      </c>
      <c r="M25" s="15">
        <v>1.05</v>
      </c>
      <c r="N25" s="17">
        <f t="shared" si="12"/>
        <v>515.27700000000004</v>
      </c>
      <c r="O25" s="17">
        <f t="shared" si="6"/>
        <v>0</v>
      </c>
      <c r="P25" s="15"/>
      <c r="Q25" s="10">
        <f t="shared" si="10"/>
        <v>535.88808000000006</v>
      </c>
    </row>
    <row r="26" spans="1:17" s="18" customFormat="1" ht="17.100000000000001" customHeight="1" x14ac:dyDescent="0.25">
      <c r="A26" s="630"/>
      <c r="B26" s="37" t="s">
        <v>1326</v>
      </c>
      <c r="C26" s="60" t="s">
        <v>1058</v>
      </c>
      <c r="D26" s="55">
        <f t="shared" si="7"/>
        <v>42</v>
      </c>
      <c r="E26" s="60">
        <v>5</v>
      </c>
      <c r="F26" s="55">
        <v>37</v>
      </c>
      <c r="G26" s="56">
        <v>515.27700000000004</v>
      </c>
      <c r="H26" s="56">
        <f t="shared" si="13"/>
        <v>535.88808000000006</v>
      </c>
      <c r="I26" s="57">
        <f t="shared" si="11"/>
        <v>321.532848</v>
      </c>
      <c r="J26" s="57">
        <f t="shared" si="9"/>
        <v>482.29927200000009</v>
      </c>
      <c r="K26" s="72" t="s">
        <v>1205</v>
      </c>
      <c r="L26" s="16">
        <v>490.74</v>
      </c>
      <c r="M26" s="15">
        <v>1.05</v>
      </c>
      <c r="N26" s="17">
        <f t="shared" si="12"/>
        <v>515.27700000000004</v>
      </c>
      <c r="O26" s="17">
        <f t="shared" si="6"/>
        <v>0</v>
      </c>
      <c r="P26" s="15"/>
      <c r="Q26" s="10">
        <f t="shared" si="10"/>
        <v>535.88808000000006</v>
      </c>
    </row>
    <row r="27" spans="1:17" s="18" customFormat="1" ht="18" customHeight="1" x14ac:dyDescent="0.25">
      <c r="A27" s="630"/>
      <c r="B27" s="61" t="s">
        <v>1063</v>
      </c>
      <c r="C27" s="60" t="s">
        <v>1058</v>
      </c>
      <c r="D27" s="55">
        <f t="shared" si="7"/>
        <v>42</v>
      </c>
      <c r="E27" s="60">
        <v>5</v>
      </c>
      <c r="F27" s="55">
        <v>37</v>
      </c>
      <c r="G27" s="56">
        <v>563.36699999999996</v>
      </c>
      <c r="H27" s="56">
        <f t="shared" si="13"/>
        <v>585.90167999999994</v>
      </c>
      <c r="I27" s="57">
        <f t="shared" si="11"/>
        <v>351.54100799999998</v>
      </c>
      <c r="J27" s="57">
        <f t="shared" si="9"/>
        <v>527.31151199999999</v>
      </c>
      <c r="K27" s="72" t="s">
        <v>1205</v>
      </c>
      <c r="L27" s="16">
        <v>536.54</v>
      </c>
      <c r="M27" s="15">
        <v>1.05</v>
      </c>
      <c r="N27" s="17">
        <f t="shared" si="12"/>
        <v>563.36699999999996</v>
      </c>
      <c r="O27" s="17">
        <f t="shared" si="6"/>
        <v>0</v>
      </c>
      <c r="P27" s="15"/>
      <c r="Q27" s="10">
        <f t="shared" si="10"/>
        <v>585.90167999999994</v>
      </c>
    </row>
    <row r="28" spans="1:17" s="18" customFormat="1" ht="17.100000000000001" customHeight="1" x14ac:dyDescent="0.25">
      <c r="A28" s="630"/>
      <c r="B28" s="62" t="s">
        <v>1064</v>
      </c>
      <c r="C28" s="60" t="s">
        <v>1058</v>
      </c>
      <c r="D28" s="55">
        <f t="shared" si="7"/>
        <v>42</v>
      </c>
      <c r="E28" s="60">
        <v>5</v>
      </c>
      <c r="F28" s="55">
        <v>37</v>
      </c>
      <c r="G28" s="56">
        <v>515.27700000000004</v>
      </c>
      <c r="H28" s="56">
        <f t="shared" si="13"/>
        <v>535.88808000000006</v>
      </c>
      <c r="I28" s="57">
        <f t="shared" si="11"/>
        <v>321.532848</v>
      </c>
      <c r="J28" s="57">
        <f t="shared" si="9"/>
        <v>482.29927200000009</v>
      </c>
      <c r="K28" s="58" t="s">
        <v>1202</v>
      </c>
      <c r="L28" s="16" t="e">
        <f>#REF!</f>
        <v>#REF!</v>
      </c>
      <c r="M28" s="15">
        <v>1.05</v>
      </c>
      <c r="N28" s="17" t="e">
        <f t="shared" si="12"/>
        <v>#REF!</v>
      </c>
      <c r="O28" s="17" t="e">
        <f t="shared" si="6"/>
        <v>#REF!</v>
      </c>
      <c r="P28" s="15"/>
      <c r="Q28" s="10">
        <f t="shared" si="10"/>
        <v>535.88808000000006</v>
      </c>
    </row>
    <row r="29" spans="1:17" s="18" customFormat="1" ht="17.45" customHeight="1" x14ac:dyDescent="0.25">
      <c r="A29" s="630"/>
      <c r="B29" s="37" t="s">
        <v>1065</v>
      </c>
      <c r="C29" s="60" t="s">
        <v>1058</v>
      </c>
      <c r="D29" s="55">
        <f t="shared" si="7"/>
        <v>42</v>
      </c>
      <c r="E29" s="60">
        <v>5</v>
      </c>
      <c r="F29" s="55">
        <v>37</v>
      </c>
      <c r="G29" s="56">
        <v>515.27700000000004</v>
      </c>
      <c r="H29" s="56">
        <f t="shared" si="13"/>
        <v>535.88808000000006</v>
      </c>
      <c r="I29" s="57">
        <f t="shared" si="11"/>
        <v>321.532848</v>
      </c>
      <c r="J29" s="57">
        <f t="shared" si="9"/>
        <v>482.29927200000009</v>
      </c>
      <c r="K29" s="72" t="s">
        <v>1205</v>
      </c>
      <c r="L29" s="16">
        <f>L26</f>
        <v>490.74</v>
      </c>
      <c r="M29" s="15">
        <v>1.05</v>
      </c>
      <c r="N29" s="17">
        <f t="shared" si="12"/>
        <v>515.27700000000004</v>
      </c>
      <c r="O29" s="17">
        <f t="shared" si="6"/>
        <v>0</v>
      </c>
      <c r="P29" s="15"/>
      <c r="Q29" s="10">
        <f t="shared" si="10"/>
        <v>535.88808000000006</v>
      </c>
    </row>
    <row r="30" spans="1:17" s="18" customFormat="1" ht="30.6" customHeight="1" thickBot="1" x14ac:dyDescent="0.3">
      <c r="A30" s="631"/>
      <c r="B30" s="77" t="s">
        <v>1066</v>
      </c>
      <c r="C30" s="64" t="s">
        <v>1058</v>
      </c>
      <c r="D30" s="65">
        <f t="shared" si="7"/>
        <v>40</v>
      </c>
      <c r="E30" s="64">
        <v>10</v>
      </c>
      <c r="F30" s="65">
        <v>30</v>
      </c>
      <c r="G30" s="56">
        <v>469.93</v>
      </c>
      <c r="H30" s="50">
        <f t="shared" si="13"/>
        <v>488.72720000000004</v>
      </c>
      <c r="I30" s="66">
        <f t="shared" si="11"/>
        <v>293.23632000000003</v>
      </c>
      <c r="J30" s="66">
        <f t="shared" si="9"/>
        <v>439.85448000000002</v>
      </c>
      <c r="K30" s="67" t="s">
        <v>1202</v>
      </c>
      <c r="L30" s="16">
        <v>447.55</v>
      </c>
      <c r="M30" s="15">
        <v>1.05</v>
      </c>
      <c r="N30" s="17">
        <f t="shared" si="12"/>
        <v>469.92750000000001</v>
      </c>
      <c r="O30" s="17">
        <f t="shared" si="6"/>
        <v>-2.4999999999977263E-3</v>
      </c>
      <c r="P30" s="15"/>
      <c r="Q30" s="10">
        <f t="shared" si="10"/>
        <v>488.72720000000004</v>
      </c>
    </row>
    <row r="31" spans="1:17" ht="16.5" thickBot="1" x14ac:dyDescent="0.3">
      <c r="A31" s="634" t="s">
        <v>1323</v>
      </c>
      <c r="B31" s="635"/>
      <c r="C31" s="636"/>
      <c r="D31" s="47">
        <f>SUM(D21:D30)</f>
        <v>414</v>
      </c>
      <c r="E31" s="68">
        <f>SUM(E21:E30)</f>
        <v>62</v>
      </c>
      <c r="F31" s="68">
        <f>SUM(F21:F30)</f>
        <v>352</v>
      </c>
      <c r="G31" s="637"/>
      <c r="H31" s="638"/>
      <c r="I31" s="638"/>
      <c r="J31" s="638"/>
      <c r="K31" s="639"/>
      <c r="L31" s="11"/>
      <c r="M31" s="8">
        <v>1.05</v>
      </c>
      <c r="N31" s="12">
        <f t="shared" si="12"/>
        <v>0</v>
      </c>
      <c r="O31" s="12">
        <f t="shared" si="6"/>
        <v>0</v>
      </c>
      <c r="P31" s="8"/>
      <c r="Q31" s="11"/>
    </row>
    <row r="32" spans="1:17" s="18" customFormat="1" x14ac:dyDescent="0.25">
      <c r="A32" s="629" t="s">
        <v>1244</v>
      </c>
      <c r="B32" s="647" t="s">
        <v>1197</v>
      </c>
      <c r="C32" s="49" t="s">
        <v>1056</v>
      </c>
      <c r="D32" s="49">
        <f t="shared" si="7"/>
        <v>50</v>
      </c>
      <c r="E32" s="49">
        <v>5</v>
      </c>
      <c r="F32" s="49">
        <v>45</v>
      </c>
      <c r="G32" s="76">
        <v>380.38349999999997</v>
      </c>
      <c r="H32" s="51">
        <f t="shared" ref="H32:H59" si="14">Q32</f>
        <v>395.59884</v>
      </c>
      <c r="I32" s="52">
        <f t="shared" si="11"/>
        <v>237.35930399999998</v>
      </c>
      <c r="J32" s="52">
        <f t="shared" ref="J32:J51" si="15">H32*90%</f>
        <v>356.03895599999998</v>
      </c>
      <c r="K32" s="53" t="s">
        <v>1202</v>
      </c>
      <c r="L32" s="16">
        <v>362.27</v>
      </c>
      <c r="M32" s="15">
        <v>1.05</v>
      </c>
      <c r="N32" s="17">
        <f t="shared" si="12"/>
        <v>380.38349999999997</v>
      </c>
      <c r="O32" s="17">
        <f t="shared" si="6"/>
        <v>0</v>
      </c>
      <c r="P32" s="15"/>
      <c r="Q32" s="10">
        <f t="shared" ref="Q32:Q51" si="16">G32*1.04</f>
        <v>395.59884</v>
      </c>
    </row>
    <row r="33" spans="1:17" s="18" customFormat="1" x14ac:dyDescent="0.25">
      <c r="A33" s="630"/>
      <c r="B33" s="632"/>
      <c r="C33" s="55" t="s">
        <v>1320</v>
      </c>
      <c r="D33" s="55">
        <f>+E33+F33</f>
        <v>50</v>
      </c>
      <c r="E33" s="55">
        <v>5</v>
      </c>
      <c r="F33" s="55">
        <v>45</v>
      </c>
      <c r="G33" s="63">
        <v>323.31600000000003</v>
      </c>
      <c r="H33" s="56">
        <f t="shared" si="14"/>
        <v>336.24864000000002</v>
      </c>
      <c r="I33" s="57">
        <f t="shared" si="11"/>
        <v>201.74918400000001</v>
      </c>
      <c r="J33" s="57">
        <f t="shared" si="15"/>
        <v>302.62377600000002</v>
      </c>
      <c r="K33" s="58" t="s">
        <v>1202</v>
      </c>
      <c r="L33" s="16">
        <v>307.92</v>
      </c>
      <c r="M33" s="15">
        <v>1.05</v>
      </c>
      <c r="N33" s="17">
        <f t="shared" si="12"/>
        <v>323.31600000000003</v>
      </c>
      <c r="O33" s="17">
        <f t="shared" si="6"/>
        <v>0</v>
      </c>
      <c r="P33" s="15"/>
      <c r="Q33" s="10">
        <f t="shared" si="16"/>
        <v>336.24864000000002</v>
      </c>
    </row>
    <row r="34" spans="1:17" s="18" customFormat="1" x14ac:dyDescent="0.25">
      <c r="A34" s="630"/>
      <c r="B34" s="632" t="s">
        <v>1295</v>
      </c>
      <c r="C34" s="60" t="s">
        <v>1056</v>
      </c>
      <c r="D34" s="55">
        <f t="shared" si="7"/>
        <v>50</v>
      </c>
      <c r="E34" s="55">
        <v>5</v>
      </c>
      <c r="F34" s="55">
        <v>45</v>
      </c>
      <c r="G34" s="56">
        <v>439.69799999999998</v>
      </c>
      <c r="H34" s="56">
        <f t="shared" si="14"/>
        <v>457.28591999999998</v>
      </c>
      <c r="I34" s="57">
        <f t="shared" si="11"/>
        <v>274.37155199999995</v>
      </c>
      <c r="J34" s="57">
        <f t="shared" si="15"/>
        <v>411.55732799999998</v>
      </c>
      <c r="K34" s="72" t="s">
        <v>1205</v>
      </c>
      <c r="L34" s="16">
        <v>418.76</v>
      </c>
      <c r="M34" s="15">
        <v>1.05</v>
      </c>
      <c r="N34" s="17">
        <f t="shared" si="12"/>
        <v>439.69800000000004</v>
      </c>
      <c r="O34" s="17">
        <f t="shared" si="6"/>
        <v>0</v>
      </c>
      <c r="P34" s="15"/>
      <c r="Q34" s="10">
        <f t="shared" si="16"/>
        <v>457.28591999999998</v>
      </c>
    </row>
    <row r="35" spans="1:17" s="18" customFormat="1" x14ac:dyDescent="0.25">
      <c r="A35" s="630"/>
      <c r="B35" s="632"/>
      <c r="C35" s="60" t="s">
        <v>1058</v>
      </c>
      <c r="D35" s="55">
        <f t="shared" si="7"/>
        <v>50</v>
      </c>
      <c r="E35" s="55">
        <v>5</v>
      </c>
      <c r="F35" s="55">
        <v>45</v>
      </c>
      <c r="G35" s="56">
        <v>469.93</v>
      </c>
      <c r="H35" s="56">
        <f t="shared" si="14"/>
        <v>488.72720000000004</v>
      </c>
      <c r="I35" s="57">
        <f t="shared" si="11"/>
        <v>293.23632000000003</v>
      </c>
      <c r="J35" s="57">
        <f t="shared" si="15"/>
        <v>439.85448000000002</v>
      </c>
      <c r="K35" s="72" t="s">
        <v>1205</v>
      </c>
      <c r="L35" s="16">
        <v>447.55</v>
      </c>
      <c r="M35" s="15">
        <v>1.05</v>
      </c>
      <c r="N35" s="17">
        <f t="shared" si="12"/>
        <v>469.92750000000001</v>
      </c>
      <c r="O35" s="17">
        <f t="shared" si="6"/>
        <v>-2.4999999999977263E-3</v>
      </c>
      <c r="P35" s="15"/>
      <c r="Q35" s="10">
        <f t="shared" si="16"/>
        <v>488.72720000000004</v>
      </c>
    </row>
    <row r="36" spans="1:17" s="18" customFormat="1" x14ac:dyDescent="0.25">
      <c r="A36" s="630"/>
      <c r="B36" s="54" t="s">
        <v>1055</v>
      </c>
      <c r="C36" s="60" t="s">
        <v>1056</v>
      </c>
      <c r="D36" s="55">
        <f t="shared" si="7"/>
        <v>50</v>
      </c>
      <c r="E36" s="55">
        <v>5</v>
      </c>
      <c r="F36" s="55">
        <v>45</v>
      </c>
      <c r="G36" s="56">
        <f>G21</f>
        <v>563.37</v>
      </c>
      <c r="H36" s="56">
        <f t="shared" si="14"/>
        <v>585.90480000000002</v>
      </c>
      <c r="I36" s="57">
        <f t="shared" si="11"/>
        <v>351.54288000000003</v>
      </c>
      <c r="J36" s="57">
        <f t="shared" si="15"/>
        <v>527.31432000000007</v>
      </c>
      <c r="K36" s="72" t="s">
        <v>1205</v>
      </c>
      <c r="L36" s="16"/>
      <c r="M36" s="15"/>
      <c r="N36" s="17"/>
      <c r="O36" s="17"/>
      <c r="P36" s="15"/>
      <c r="Q36" s="10">
        <f t="shared" si="16"/>
        <v>585.90480000000002</v>
      </c>
    </row>
    <row r="37" spans="1:17" s="18" customFormat="1" x14ac:dyDescent="0.25">
      <c r="A37" s="630"/>
      <c r="B37" s="632" t="s">
        <v>1057</v>
      </c>
      <c r="C37" s="60" t="s">
        <v>1327</v>
      </c>
      <c r="D37" s="55">
        <f t="shared" si="7"/>
        <v>100</v>
      </c>
      <c r="E37" s="55">
        <v>10</v>
      </c>
      <c r="F37" s="55">
        <v>90</v>
      </c>
      <c r="G37" s="56">
        <v>439.69799999999998</v>
      </c>
      <c r="H37" s="56">
        <f t="shared" si="14"/>
        <v>457.28591999999998</v>
      </c>
      <c r="I37" s="57">
        <f t="shared" si="11"/>
        <v>274.37155199999995</v>
      </c>
      <c r="J37" s="57">
        <f t="shared" si="15"/>
        <v>411.55732799999998</v>
      </c>
      <c r="K37" s="72" t="s">
        <v>1205</v>
      </c>
      <c r="L37" s="16">
        <v>418.76</v>
      </c>
      <c r="M37" s="15">
        <v>1.05</v>
      </c>
      <c r="N37" s="17">
        <f t="shared" si="12"/>
        <v>439.69800000000004</v>
      </c>
      <c r="O37" s="17">
        <f t="shared" si="6"/>
        <v>0</v>
      </c>
      <c r="P37" s="15"/>
      <c r="Q37" s="10">
        <f t="shared" si="16"/>
        <v>457.28591999999998</v>
      </c>
    </row>
    <row r="38" spans="1:17" s="18" customFormat="1" x14ac:dyDescent="0.25">
      <c r="A38" s="630"/>
      <c r="B38" s="632"/>
      <c r="C38" s="60" t="s">
        <v>1320</v>
      </c>
      <c r="D38" s="55">
        <f t="shared" si="7"/>
        <v>50</v>
      </c>
      <c r="E38" s="55">
        <v>5</v>
      </c>
      <c r="F38" s="55">
        <v>45</v>
      </c>
      <c r="G38" s="56">
        <v>373.7475</v>
      </c>
      <c r="H38" s="56">
        <f t="shared" si="14"/>
        <v>388.69740000000002</v>
      </c>
      <c r="I38" s="57">
        <f t="shared" si="11"/>
        <v>233.21843999999999</v>
      </c>
      <c r="J38" s="57">
        <f t="shared" si="15"/>
        <v>349.82766000000004</v>
      </c>
      <c r="K38" s="72" t="s">
        <v>1205</v>
      </c>
      <c r="L38" s="16">
        <v>355.95</v>
      </c>
      <c r="M38" s="15">
        <v>1.05</v>
      </c>
      <c r="N38" s="17">
        <f t="shared" si="12"/>
        <v>373.7475</v>
      </c>
      <c r="O38" s="17">
        <f t="shared" si="6"/>
        <v>0</v>
      </c>
      <c r="P38" s="15"/>
      <c r="Q38" s="10">
        <f t="shared" si="16"/>
        <v>388.69740000000002</v>
      </c>
    </row>
    <row r="39" spans="1:17" s="18" customFormat="1" x14ac:dyDescent="0.25">
      <c r="A39" s="630"/>
      <c r="B39" s="632"/>
      <c r="C39" s="60" t="s">
        <v>1058</v>
      </c>
      <c r="D39" s="55">
        <f t="shared" si="7"/>
        <v>50</v>
      </c>
      <c r="E39" s="55">
        <v>5</v>
      </c>
      <c r="F39" s="55">
        <v>45</v>
      </c>
      <c r="G39" s="56">
        <v>469.93</v>
      </c>
      <c r="H39" s="56">
        <f t="shared" si="14"/>
        <v>488.72720000000004</v>
      </c>
      <c r="I39" s="57">
        <f t="shared" si="11"/>
        <v>293.23632000000003</v>
      </c>
      <c r="J39" s="57">
        <f t="shared" si="15"/>
        <v>439.85448000000002</v>
      </c>
      <c r="K39" s="72" t="s">
        <v>1205</v>
      </c>
      <c r="L39" s="16">
        <v>447.55</v>
      </c>
      <c r="M39" s="15">
        <v>1.05</v>
      </c>
      <c r="N39" s="17">
        <f t="shared" si="12"/>
        <v>469.92750000000001</v>
      </c>
      <c r="O39" s="17">
        <f t="shared" si="6"/>
        <v>-2.4999999999977263E-3</v>
      </c>
      <c r="P39" s="15"/>
      <c r="Q39" s="10">
        <f t="shared" si="16"/>
        <v>488.72720000000004</v>
      </c>
    </row>
    <row r="40" spans="1:17" s="18" customFormat="1" x14ac:dyDescent="0.25">
      <c r="A40" s="630"/>
      <c r="B40" s="62" t="s">
        <v>1220</v>
      </c>
      <c r="C40" s="60" t="s">
        <v>1058</v>
      </c>
      <c r="D40" s="55">
        <f t="shared" si="7"/>
        <v>50</v>
      </c>
      <c r="E40" s="55">
        <v>5</v>
      </c>
      <c r="F40" s="55">
        <v>45</v>
      </c>
      <c r="G40" s="56">
        <v>535.88</v>
      </c>
      <c r="H40" s="56">
        <f t="shared" si="14"/>
        <v>557.3152</v>
      </c>
      <c r="I40" s="57">
        <f t="shared" si="11"/>
        <v>334.38911999999999</v>
      </c>
      <c r="J40" s="57">
        <f t="shared" si="15"/>
        <v>501.58368000000002</v>
      </c>
      <c r="K40" s="72" t="s">
        <v>1205</v>
      </c>
      <c r="L40" s="16">
        <v>510.36</v>
      </c>
      <c r="M40" s="15">
        <v>1.05</v>
      </c>
      <c r="N40" s="17">
        <f t="shared" si="12"/>
        <v>535.87800000000004</v>
      </c>
      <c r="O40" s="17">
        <f t="shared" si="6"/>
        <v>-1.9999999999527063E-3</v>
      </c>
      <c r="P40" s="15"/>
      <c r="Q40" s="10">
        <f t="shared" si="16"/>
        <v>557.3152</v>
      </c>
    </row>
    <row r="41" spans="1:17" s="18" customFormat="1" x14ac:dyDescent="0.25">
      <c r="A41" s="630"/>
      <c r="B41" s="633" t="s">
        <v>1206</v>
      </c>
      <c r="C41" s="60" t="s">
        <v>1327</v>
      </c>
      <c r="D41" s="55">
        <f>+E41+F41</f>
        <v>50</v>
      </c>
      <c r="E41" s="55">
        <v>5</v>
      </c>
      <c r="F41" s="55">
        <v>45</v>
      </c>
      <c r="G41" s="56">
        <v>439.69799999999998</v>
      </c>
      <c r="H41" s="56">
        <f t="shared" si="14"/>
        <v>457.28591999999998</v>
      </c>
      <c r="I41" s="57">
        <f t="shared" si="11"/>
        <v>274.37155199999995</v>
      </c>
      <c r="J41" s="57">
        <f t="shared" si="15"/>
        <v>411.55732799999998</v>
      </c>
      <c r="K41" s="72" t="s">
        <v>1205</v>
      </c>
      <c r="L41" s="16">
        <v>418.76</v>
      </c>
      <c r="M41" s="15">
        <v>1.05</v>
      </c>
      <c r="N41" s="17">
        <f t="shared" si="12"/>
        <v>439.69800000000004</v>
      </c>
      <c r="O41" s="17">
        <f t="shared" si="6"/>
        <v>0</v>
      </c>
      <c r="P41" s="15"/>
      <c r="Q41" s="10">
        <f t="shared" si="16"/>
        <v>457.28591999999998</v>
      </c>
    </row>
    <row r="42" spans="1:17" s="18" customFormat="1" x14ac:dyDescent="0.25">
      <c r="A42" s="630"/>
      <c r="B42" s="633"/>
      <c r="C42" s="60" t="s">
        <v>1321</v>
      </c>
      <c r="D42" s="55">
        <f t="shared" ref="D42:D45" si="17">+E42+F42</f>
        <v>50</v>
      </c>
      <c r="E42" s="55">
        <v>5</v>
      </c>
      <c r="F42" s="55">
        <v>45</v>
      </c>
      <c r="G42" s="56">
        <v>373.7475</v>
      </c>
      <c r="H42" s="56">
        <f t="shared" si="14"/>
        <v>388.69740000000002</v>
      </c>
      <c r="I42" s="57">
        <f t="shared" si="11"/>
        <v>233.21843999999999</v>
      </c>
      <c r="J42" s="57">
        <f t="shared" si="15"/>
        <v>349.82766000000004</v>
      </c>
      <c r="K42" s="72" t="s">
        <v>1205</v>
      </c>
      <c r="L42" s="16">
        <v>355.95</v>
      </c>
      <c r="M42" s="15">
        <v>1.05</v>
      </c>
      <c r="N42" s="17">
        <f t="shared" si="12"/>
        <v>373.7475</v>
      </c>
      <c r="O42" s="17">
        <f t="shared" si="6"/>
        <v>0</v>
      </c>
      <c r="P42" s="15"/>
      <c r="Q42" s="10">
        <f t="shared" si="16"/>
        <v>388.69740000000002</v>
      </c>
    </row>
    <row r="43" spans="1:17" s="18" customFormat="1" x14ac:dyDescent="0.25">
      <c r="A43" s="630"/>
      <c r="B43" s="633"/>
      <c r="C43" s="60" t="s">
        <v>1058</v>
      </c>
      <c r="D43" s="55">
        <f t="shared" si="17"/>
        <v>50</v>
      </c>
      <c r="E43" s="55">
        <v>5</v>
      </c>
      <c r="F43" s="55">
        <v>45</v>
      </c>
      <c r="G43" s="56">
        <v>480.92099999999999</v>
      </c>
      <c r="H43" s="56">
        <f t="shared" si="14"/>
        <v>500.15784000000002</v>
      </c>
      <c r="I43" s="57">
        <f t="shared" si="11"/>
        <v>300.09470399999998</v>
      </c>
      <c r="J43" s="57">
        <f t="shared" si="15"/>
        <v>450.14205600000003</v>
      </c>
      <c r="K43" s="72" t="s">
        <v>1205</v>
      </c>
      <c r="L43" s="16">
        <v>458.02</v>
      </c>
      <c r="M43" s="15">
        <v>1.05</v>
      </c>
      <c r="N43" s="17">
        <f t="shared" si="12"/>
        <v>480.92099999999999</v>
      </c>
      <c r="O43" s="17">
        <f t="shared" si="6"/>
        <v>0</v>
      </c>
      <c r="P43" s="15"/>
      <c r="Q43" s="10">
        <f t="shared" si="16"/>
        <v>500.15784000000002</v>
      </c>
    </row>
    <row r="44" spans="1:17" s="18" customFormat="1" x14ac:dyDescent="0.25">
      <c r="A44" s="630"/>
      <c r="B44" s="633" t="s">
        <v>1059</v>
      </c>
      <c r="C44" s="60" t="s">
        <v>1327</v>
      </c>
      <c r="D44" s="55">
        <f t="shared" si="17"/>
        <v>50</v>
      </c>
      <c r="E44" s="55">
        <v>5</v>
      </c>
      <c r="F44" s="55">
        <v>45</v>
      </c>
      <c r="G44" s="63">
        <v>480.92099999999999</v>
      </c>
      <c r="H44" s="56">
        <f t="shared" si="14"/>
        <v>500.15784000000002</v>
      </c>
      <c r="I44" s="57">
        <f t="shared" si="11"/>
        <v>300.09470399999998</v>
      </c>
      <c r="J44" s="57">
        <f t="shared" si="15"/>
        <v>450.14205600000003</v>
      </c>
      <c r="K44" s="72" t="s">
        <v>1205</v>
      </c>
      <c r="L44" s="16">
        <f>L43</f>
        <v>458.02</v>
      </c>
      <c r="M44" s="15">
        <v>1.05</v>
      </c>
      <c r="N44" s="17">
        <f t="shared" si="12"/>
        <v>480.92099999999999</v>
      </c>
      <c r="O44" s="17">
        <f t="shared" si="6"/>
        <v>0</v>
      </c>
      <c r="P44" s="15"/>
      <c r="Q44" s="10">
        <f t="shared" si="16"/>
        <v>500.15784000000002</v>
      </c>
    </row>
    <row r="45" spans="1:17" s="18" customFormat="1" x14ac:dyDescent="0.25">
      <c r="A45" s="630"/>
      <c r="B45" s="633"/>
      <c r="C45" s="60" t="s">
        <v>1058</v>
      </c>
      <c r="D45" s="55">
        <f t="shared" si="17"/>
        <v>50</v>
      </c>
      <c r="E45" s="55">
        <v>5</v>
      </c>
      <c r="F45" s="55">
        <v>45</v>
      </c>
      <c r="G45" s="63">
        <v>515.27700000000004</v>
      </c>
      <c r="H45" s="56">
        <f t="shared" si="14"/>
        <v>535.88808000000006</v>
      </c>
      <c r="I45" s="57">
        <f t="shared" si="11"/>
        <v>321.532848</v>
      </c>
      <c r="J45" s="57">
        <f t="shared" si="15"/>
        <v>482.29927200000009</v>
      </c>
      <c r="K45" s="72" t="s">
        <v>1205</v>
      </c>
      <c r="L45" s="16">
        <v>490.74</v>
      </c>
      <c r="M45" s="15">
        <v>1.05</v>
      </c>
      <c r="N45" s="17">
        <f t="shared" si="12"/>
        <v>515.27700000000004</v>
      </c>
      <c r="O45" s="17">
        <f t="shared" si="6"/>
        <v>0</v>
      </c>
      <c r="P45" s="15"/>
      <c r="Q45" s="10">
        <f t="shared" si="16"/>
        <v>535.88808000000006</v>
      </c>
    </row>
    <row r="46" spans="1:17" s="18" customFormat="1" x14ac:dyDescent="0.25">
      <c r="A46" s="630"/>
      <c r="B46" s="62" t="s">
        <v>1060</v>
      </c>
      <c r="C46" s="60" t="s">
        <v>1327</v>
      </c>
      <c r="D46" s="55">
        <f>+E46+F46</f>
        <v>50</v>
      </c>
      <c r="E46" s="55">
        <v>5</v>
      </c>
      <c r="F46" s="55">
        <v>45</v>
      </c>
      <c r="G46" s="63">
        <v>453.43199999999996</v>
      </c>
      <c r="H46" s="56">
        <f t="shared" si="14"/>
        <v>471.56927999999999</v>
      </c>
      <c r="I46" s="57">
        <f t="shared" si="11"/>
        <v>282.94156799999996</v>
      </c>
      <c r="J46" s="57">
        <f t="shared" si="15"/>
        <v>424.412352</v>
      </c>
      <c r="K46" s="58" t="s">
        <v>1202</v>
      </c>
      <c r="L46" s="16">
        <v>431.84</v>
      </c>
      <c r="M46" s="15">
        <v>1.05</v>
      </c>
      <c r="N46" s="17">
        <f t="shared" si="12"/>
        <v>453.43200000000002</v>
      </c>
      <c r="O46" s="17">
        <f t="shared" si="6"/>
        <v>0</v>
      </c>
      <c r="P46" s="15"/>
      <c r="Q46" s="10">
        <f t="shared" si="16"/>
        <v>471.56927999999999</v>
      </c>
    </row>
    <row r="47" spans="1:17" s="18" customFormat="1" x14ac:dyDescent="0.25">
      <c r="A47" s="630"/>
      <c r="B47" s="632" t="s">
        <v>1328</v>
      </c>
      <c r="C47" s="60" t="s">
        <v>1321</v>
      </c>
      <c r="D47" s="55">
        <f t="shared" ref="D47:D48" si="18">+E47+F47</f>
        <v>50</v>
      </c>
      <c r="E47" s="55">
        <v>5</v>
      </c>
      <c r="F47" s="55">
        <v>45</v>
      </c>
      <c r="G47" s="56">
        <v>408.77550000000002</v>
      </c>
      <c r="H47" s="56">
        <f t="shared" si="14"/>
        <v>425.12652000000003</v>
      </c>
      <c r="I47" s="57">
        <f t="shared" si="11"/>
        <v>255.07591200000002</v>
      </c>
      <c r="J47" s="57">
        <f t="shared" si="15"/>
        <v>382.61386800000002</v>
      </c>
      <c r="K47" s="72" t="s">
        <v>1205</v>
      </c>
      <c r="L47" s="16"/>
      <c r="M47" s="15"/>
      <c r="N47" s="17"/>
      <c r="O47" s="17"/>
      <c r="P47" s="15"/>
      <c r="Q47" s="10">
        <f t="shared" si="16"/>
        <v>425.12652000000003</v>
      </c>
    </row>
    <row r="48" spans="1:17" s="18" customFormat="1" x14ac:dyDescent="0.25">
      <c r="A48" s="630"/>
      <c r="B48" s="632"/>
      <c r="C48" s="60" t="s">
        <v>1058</v>
      </c>
      <c r="D48" s="55">
        <f t="shared" si="18"/>
        <v>50</v>
      </c>
      <c r="E48" s="55">
        <v>5</v>
      </c>
      <c r="F48" s="55">
        <v>45</v>
      </c>
      <c r="G48" s="56">
        <v>515.28</v>
      </c>
      <c r="H48" s="56">
        <f t="shared" si="14"/>
        <v>535.89120000000003</v>
      </c>
      <c r="I48" s="57">
        <f t="shared" si="11"/>
        <v>321.53471999999999</v>
      </c>
      <c r="J48" s="57">
        <f t="shared" si="15"/>
        <v>482.30208000000005</v>
      </c>
      <c r="K48" s="72" t="s">
        <v>1205</v>
      </c>
      <c r="L48" s="16"/>
      <c r="M48" s="15"/>
      <c r="N48" s="17"/>
      <c r="O48" s="17"/>
      <c r="P48" s="15"/>
      <c r="Q48" s="10">
        <f t="shared" si="16"/>
        <v>535.89120000000003</v>
      </c>
    </row>
    <row r="49" spans="1:17" s="18" customFormat="1" ht="30" x14ac:dyDescent="0.25">
      <c r="A49" s="630"/>
      <c r="B49" s="54" t="s">
        <v>1066</v>
      </c>
      <c r="C49" s="60" t="s">
        <v>1327</v>
      </c>
      <c r="D49" s="55">
        <f t="shared" si="7"/>
        <v>50</v>
      </c>
      <c r="E49" s="55">
        <v>5</v>
      </c>
      <c r="F49" s="55">
        <v>45</v>
      </c>
      <c r="G49" s="63">
        <v>439.7</v>
      </c>
      <c r="H49" s="56">
        <f t="shared" si="14"/>
        <v>457.28800000000001</v>
      </c>
      <c r="I49" s="57">
        <f t="shared" si="11"/>
        <v>274.37279999999998</v>
      </c>
      <c r="J49" s="57">
        <f t="shared" si="15"/>
        <v>411.55920000000003</v>
      </c>
      <c r="K49" s="58" t="s">
        <v>1202</v>
      </c>
      <c r="L49" s="16"/>
      <c r="M49" s="15"/>
      <c r="N49" s="17"/>
      <c r="O49" s="17"/>
      <c r="P49" s="15"/>
      <c r="Q49" s="10">
        <f t="shared" si="16"/>
        <v>457.28800000000001</v>
      </c>
    </row>
    <row r="50" spans="1:17" s="18" customFormat="1" ht="30" x14ac:dyDescent="0.25">
      <c r="A50" s="630"/>
      <c r="B50" s="54" t="s">
        <v>1322</v>
      </c>
      <c r="C50" s="60" t="s">
        <v>1058</v>
      </c>
      <c r="D50" s="55">
        <f t="shared" si="7"/>
        <v>50</v>
      </c>
      <c r="E50" s="55">
        <v>5</v>
      </c>
      <c r="F50" s="55">
        <v>45</v>
      </c>
      <c r="G50" s="63">
        <v>515.28</v>
      </c>
      <c r="H50" s="56">
        <f t="shared" si="14"/>
        <v>535.89120000000003</v>
      </c>
      <c r="I50" s="57">
        <f t="shared" si="11"/>
        <v>321.53471999999999</v>
      </c>
      <c r="J50" s="57">
        <f t="shared" si="15"/>
        <v>482.30208000000005</v>
      </c>
      <c r="K50" s="72" t="s">
        <v>1205</v>
      </c>
      <c r="L50" s="16"/>
      <c r="M50" s="15"/>
      <c r="N50" s="17"/>
      <c r="O50" s="17"/>
      <c r="P50" s="15"/>
      <c r="Q50" s="10">
        <f t="shared" si="16"/>
        <v>535.89120000000003</v>
      </c>
    </row>
    <row r="51" spans="1:17" s="18" customFormat="1" ht="30.75" thickBot="1" x14ac:dyDescent="0.3">
      <c r="A51" s="646"/>
      <c r="B51" s="86" t="s">
        <v>1215</v>
      </c>
      <c r="C51" s="87" t="s">
        <v>1327</v>
      </c>
      <c r="D51" s="88">
        <f t="shared" si="7"/>
        <v>50</v>
      </c>
      <c r="E51" s="88">
        <v>5</v>
      </c>
      <c r="F51" s="88">
        <v>45</v>
      </c>
      <c r="G51" s="89">
        <v>439.7</v>
      </c>
      <c r="H51" s="89">
        <f t="shared" si="14"/>
        <v>457.28800000000001</v>
      </c>
      <c r="I51" s="90">
        <f t="shared" si="11"/>
        <v>274.37279999999998</v>
      </c>
      <c r="J51" s="90">
        <f t="shared" si="15"/>
        <v>411.55920000000003</v>
      </c>
      <c r="K51" s="91" t="s">
        <v>1205</v>
      </c>
      <c r="L51" s="16">
        <v>389.31</v>
      </c>
      <c r="M51" s="15">
        <v>1.05</v>
      </c>
      <c r="N51" s="17">
        <f t="shared" si="12"/>
        <v>408.77550000000002</v>
      </c>
      <c r="O51" s="17">
        <f>N51-G51</f>
        <v>-30.924499999999966</v>
      </c>
      <c r="P51" s="15"/>
      <c r="Q51" s="10">
        <f t="shared" si="16"/>
        <v>457.28800000000001</v>
      </c>
    </row>
    <row r="52" spans="1:17" ht="16.5" thickBot="1" x14ac:dyDescent="0.3">
      <c r="A52" s="648" t="s">
        <v>1323</v>
      </c>
      <c r="B52" s="649"/>
      <c r="C52" s="649"/>
      <c r="D52" s="47">
        <f>SUM(D32:D51)</f>
        <v>1050</v>
      </c>
      <c r="E52" s="47">
        <f>SUM(E32:E51)</f>
        <v>105</v>
      </c>
      <c r="F52" s="47">
        <f>SUM(F32:F51)</f>
        <v>945</v>
      </c>
      <c r="G52" s="650"/>
      <c r="H52" s="650"/>
      <c r="I52" s="650"/>
      <c r="J52" s="650"/>
      <c r="K52" s="651"/>
      <c r="L52" s="11"/>
      <c r="M52" s="8">
        <v>1.05</v>
      </c>
      <c r="N52" s="12">
        <f t="shared" si="12"/>
        <v>0</v>
      </c>
      <c r="O52" s="12">
        <f>N52-G52</f>
        <v>0</v>
      </c>
      <c r="P52" s="8"/>
      <c r="Q52" s="11"/>
    </row>
    <row r="53" spans="1:17" ht="16.5" thickBot="1" x14ac:dyDescent="0.3">
      <c r="A53" s="106" t="s">
        <v>1245</v>
      </c>
      <c r="B53" s="92" t="s">
        <v>1209</v>
      </c>
      <c r="C53" s="93" t="s">
        <v>1058</v>
      </c>
      <c r="D53" s="93">
        <f t="shared" ref="D53:D54" si="19">+E53+F53</f>
        <v>45</v>
      </c>
      <c r="E53" s="93">
        <v>5</v>
      </c>
      <c r="F53" s="93">
        <v>40</v>
      </c>
      <c r="G53" s="94">
        <v>439.7</v>
      </c>
      <c r="H53" s="94">
        <f t="shared" si="14"/>
        <v>457.28800000000001</v>
      </c>
      <c r="I53" s="95">
        <f t="shared" si="11"/>
        <v>274.37279999999998</v>
      </c>
      <c r="J53" s="95">
        <f t="shared" ref="J53" si="20">H53*90%</f>
        <v>411.55920000000003</v>
      </c>
      <c r="K53" s="96" t="s">
        <v>1205</v>
      </c>
      <c r="L53" s="11"/>
      <c r="M53" s="8"/>
      <c r="N53" s="12"/>
      <c r="O53" s="12"/>
      <c r="P53" s="8"/>
      <c r="Q53" s="10">
        <f>G53*1.04</f>
        <v>457.28800000000001</v>
      </c>
    </row>
    <row r="54" spans="1:17" s="18" customFormat="1" ht="16.5" thickBot="1" x14ac:dyDescent="0.3">
      <c r="A54" s="648" t="s">
        <v>1323</v>
      </c>
      <c r="B54" s="649"/>
      <c r="C54" s="649"/>
      <c r="D54" s="47">
        <f t="shared" si="19"/>
        <v>45</v>
      </c>
      <c r="E54" s="68">
        <f>SUM(E53)</f>
        <v>5</v>
      </c>
      <c r="F54" s="68">
        <f>SUM(F53)</f>
        <v>40</v>
      </c>
      <c r="G54" s="652"/>
      <c r="H54" s="652"/>
      <c r="I54" s="652"/>
      <c r="J54" s="652"/>
      <c r="K54" s="653"/>
      <c r="L54" s="16"/>
      <c r="M54" s="15"/>
      <c r="N54" s="17">
        <f t="shared" ref="N54" si="21">L54*M54</f>
        <v>0</v>
      </c>
      <c r="O54" s="17">
        <f t="shared" ref="O54" si="22">N54-G54</f>
        <v>0</v>
      </c>
      <c r="P54" s="15"/>
      <c r="Q54" s="16"/>
    </row>
    <row r="55" spans="1:17" x14ac:dyDescent="0.25">
      <c r="A55" s="654" t="s">
        <v>1248</v>
      </c>
      <c r="B55" s="97" t="s">
        <v>1206</v>
      </c>
      <c r="C55" s="98" t="s">
        <v>1058</v>
      </c>
      <c r="D55" s="98">
        <f t="shared" si="7"/>
        <v>40</v>
      </c>
      <c r="E55" s="98">
        <v>10</v>
      </c>
      <c r="F55" s="98">
        <v>30</v>
      </c>
      <c r="G55" s="99">
        <v>439.7</v>
      </c>
      <c r="H55" s="99">
        <f t="shared" si="14"/>
        <v>457.28800000000001</v>
      </c>
      <c r="I55" s="100">
        <f t="shared" si="11"/>
        <v>274.37279999999998</v>
      </c>
      <c r="J55" s="100">
        <f t="shared" ref="J55:J56" si="23">H55*90%</f>
        <v>411.55920000000003</v>
      </c>
      <c r="K55" s="101" t="s">
        <v>1205</v>
      </c>
      <c r="L55" s="11"/>
      <c r="M55" s="8"/>
      <c r="N55" s="12"/>
      <c r="O55" s="12"/>
      <c r="P55" s="8"/>
      <c r="Q55" s="10">
        <f>G55*1.04</f>
        <v>457.28800000000001</v>
      </c>
    </row>
    <row r="56" spans="1:17" ht="16.5" thickBot="1" x14ac:dyDescent="0.3">
      <c r="A56" s="646"/>
      <c r="B56" s="102" t="s">
        <v>1209</v>
      </c>
      <c r="C56" s="88" t="s">
        <v>1058</v>
      </c>
      <c r="D56" s="88">
        <f t="shared" si="7"/>
        <v>40</v>
      </c>
      <c r="E56" s="88">
        <v>10</v>
      </c>
      <c r="F56" s="88">
        <v>30</v>
      </c>
      <c r="G56" s="89">
        <v>439.7</v>
      </c>
      <c r="H56" s="89">
        <f t="shared" si="14"/>
        <v>457.28800000000001</v>
      </c>
      <c r="I56" s="90">
        <f t="shared" si="11"/>
        <v>274.37279999999998</v>
      </c>
      <c r="J56" s="90">
        <f t="shared" si="23"/>
        <v>411.55920000000003</v>
      </c>
      <c r="K56" s="91" t="s">
        <v>1205</v>
      </c>
      <c r="L56" s="11"/>
      <c r="M56" s="8"/>
      <c r="N56" s="12"/>
      <c r="O56" s="12"/>
      <c r="P56" s="8"/>
      <c r="Q56" s="10">
        <f>G56*1.04</f>
        <v>457.28800000000001</v>
      </c>
    </row>
    <row r="57" spans="1:17" ht="16.5" thickBot="1" x14ac:dyDescent="0.3">
      <c r="A57" s="642" t="s">
        <v>1323</v>
      </c>
      <c r="B57" s="643"/>
      <c r="C57" s="643"/>
      <c r="D57" s="103">
        <f t="shared" si="7"/>
        <v>80</v>
      </c>
      <c r="E57" s="103">
        <f>SUM(E55:E56)</f>
        <v>20</v>
      </c>
      <c r="F57" s="103">
        <f>SUM(F55:F56)</f>
        <v>60</v>
      </c>
      <c r="G57" s="644"/>
      <c r="H57" s="644"/>
      <c r="I57" s="644"/>
      <c r="J57" s="644"/>
      <c r="K57" s="645"/>
      <c r="L57" s="11"/>
      <c r="M57" s="8"/>
      <c r="N57" s="12"/>
      <c r="O57" s="12"/>
      <c r="P57" s="8"/>
      <c r="Q57" s="11"/>
    </row>
    <row r="58" spans="1:17" ht="30" x14ac:dyDescent="0.25">
      <c r="A58" s="629" t="s">
        <v>1250</v>
      </c>
      <c r="B58" s="36" t="s">
        <v>1057</v>
      </c>
      <c r="C58" s="49" t="s">
        <v>1058</v>
      </c>
      <c r="D58" s="49">
        <f t="shared" si="7"/>
        <v>45</v>
      </c>
      <c r="E58" s="49">
        <v>5</v>
      </c>
      <c r="F58" s="49">
        <v>40</v>
      </c>
      <c r="G58" s="51">
        <v>439.7</v>
      </c>
      <c r="H58" s="51">
        <f t="shared" si="14"/>
        <v>457.28800000000001</v>
      </c>
      <c r="I58" s="52">
        <f t="shared" si="11"/>
        <v>274.37279999999998</v>
      </c>
      <c r="J58" s="52">
        <f t="shared" ref="J58:J59" si="24">H58*90%</f>
        <v>411.55920000000003</v>
      </c>
      <c r="K58" s="53" t="s">
        <v>1205</v>
      </c>
      <c r="L58" s="11"/>
      <c r="M58" s="8"/>
      <c r="N58" s="12"/>
      <c r="O58" s="12"/>
      <c r="P58" s="8"/>
      <c r="Q58" s="10">
        <f>G58*1.04</f>
        <v>457.28800000000001</v>
      </c>
    </row>
    <row r="59" spans="1:17" s="18" customFormat="1" ht="15.95" customHeight="1" thickBot="1" x14ac:dyDescent="0.3">
      <c r="A59" s="631"/>
      <c r="B59" s="42" t="s">
        <v>1209</v>
      </c>
      <c r="C59" s="65" t="s">
        <v>1058</v>
      </c>
      <c r="D59" s="65">
        <f t="shared" si="7"/>
        <v>45</v>
      </c>
      <c r="E59" s="65">
        <v>5</v>
      </c>
      <c r="F59" s="65">
        <v>40</v>
      </c>
      <c r="G59" s="50">
        <v>439.7</v>
      </c>
      <c r="H59" s="50">
        <f t="shared" si="14"/>
        <v>457.28800000000001</v>
      </c>
      <c r="I59" s="66">
        <f t="shared" si="11"/>
        <v>274.37279999999998</v>
      </c>
      <c r="J59" s="66">
        <f t="shared" si="24"/>
        <v>411.55920000000003</v>
      </c>
      <c r="K59" s="73" t="s">
        <v>1205</v>
      </c>
      <c r="L59" s="16">
        <v>355.95</v>
      </c>
      <c r="M59" s="15">
        <v>1.05</v>
      </c>
      <c r="N59" s="17">
        <f t="shared" si="12"/>
        <v>373.7475</v>
      </c>
      <c r="O59" s="17">
        <f t="shared" ref="O59:O64" si="25">N59-G59</f>
        <v>-65.952499999999986</v>
      </c>
      <c r="P59" s="15"/>
      <c r="Q59" s="10">
        <f>G59*1.04</f>
        <v>457.28800000000001</v>
      </c>
    </row>
    <row r="60" spans="1:17" s="18" customFormat="1" ht="16.5" thickBot="1" x14ac:dyDescent="0.3">
      <c r="A60" s="648" t="s">
        <v>1323</v>
      </c>
      <c r="B60" s="649"/>
      <c r="C60" s="656"/>
      <c r="D60" s="47">
        <f t="shared" si="7"/>
        <v>90</v>
      </c>
      <c r="E60" s="68">
        <f>SUM(E58:E59)</f>
        <v>10</v>
      </c>
      <c r="F60" s="68">
        <f>SUM(F58:F59)</f>
        <v>80</v>
      </c>
      <c r="G60" s="657"/>
      <c r="H60" s="657"/>
      <c r="I60" s="652"/>
      <c r="J60" s="652"/>
      <c r="K60" s="653"/>
      <c r="L60" s="16"/>
      <c r="M60" s="15"/>
      <c r="N60" s="17">
        <f t="shared" si="12"/>
        <v>0</v>
      </c>
      <c r="O60" s="17">
        <f t="shared" si="25"/>
        <v>0</v>
      </c>
      <c r="P60" s="15"/>
      <c r="Q60" s="16"/>
    </row>
    <row r="61" spans="1:17" s="18" customFormat="1" ht="16.5" thickBot="1" x14ac:dyDescent="0.3">
      <c r="A61" s="648" t="s">
        <v>1251</v>
      </c>
      <c r="B61" s="649"/>
      <c r="C61" s="656"/>
      <c r="D61" s="47">
        <v>4274</v>
      </c>
      <c r="E61" s="68">
        <v>507</v>
      </c>
      <c r="F61" s="68">
        <v>3767</v>
      </c>
      <c r="G61" s="657"/>
      <c r="H61" s="657"/>
      <c r="I61" s="652"/>
      <c r="J61" s="652"/>
      <c r="K61" s="653"/>
      <c r="L61" s="16"/>
      <c r="M61" s="15"/>
      <c r="N61" s="17">
        <f t="shared" si="12"/>
        <v>0</v>
      </c>
      <c r="O61" s="17">
        <f t="shared" si="25"/>
        <v>0</v>
      </c>
      <c r="P61" s="15"/>
      <c r="Q61" s="16"/>
    </row>
    <row r="62" spans="1:17" ht="31.5" customHeight="1" x14ac:dyDescent="0.25">
      <c r="A62" s="655" t="s">
        <v>1252</v>
      </c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11"/>
      <c r="M62" s="8"/>
      <c r="N62" s="12">
        <f t="shared" si="12"/>
        <v>0</v>
      </c>
      <c r="O62" s="12">
        <f t="shared" si="25"/>
        <v>0</v>
      </c>
      <c r="P62" s="8"/>
      <c r="Q62" s="11"/>
    </row>
    <row r="63" spans="1:17" ht="18" customHeight="1" x14ac:dyDescent="0.25">
      <c r="A63" s="655" t="s">
        <v>1253</v>
      </c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11"/>
      <c r="M63" s="8"/>
      <c r="N63" s="12">
        <f t="shared" si="12"/>
        <v>0</v>
      </c>
      <c r="O63" s="12">
        <f t="shared" si="25"/>
        <v>0</v>
      </c>
      <c r="P63" s="8"/>
      <c r="Q63" s="11"/>
    </row>
    <row r="64" spans="1:17" ht="29.25" customHeight="1" x14ac:dyDescent="0.25">
      <c r="A64" s="655" t="s">
        <v>1254</v>
      </c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11"/>
      <c r="M64" s="8"/>
      <c r="N64" s="12">
        <f t="shared" si="12"/>
        <v>0</v>
      </c>
      <c r="O64" s="12">
        <f t="shared" si="25"/>
        <v>0</v>
      </c>
      <c r="P64" s="8"/>
      <c r="Q64" s="11"/>
    </row>
    <row r="65" spans="7:17" x14ac:dyDescent="0.25">
      <c r="G65" s="13"/>
      <c r="H65" s="13"/>
      <c r="I65" s="14"/>
      <c r="J65" s="14"/>
      <c r="L65" s="11"/>
      <c r="M65" s="8"/>
      <c r="N65" s="8"/>
      <c r="O65" s="8"/>
      <c r="P65" s="8"/>
      <c r="Q65" s="11"/>
    </row>
    <row r="66" spans="7:17" x14ac:dyDescent="0.25">
      <c r="G66" s="13"/>
      <c r="H66" s="13"/>
      <c r="I66" s="14"/>
      <c r="J66" s="14"/>
      <c r="L66" s="10"/>
      <c r="Q66" s="10"/>
    </row>
  </sheetData>
  <mergeCells count="39">
    <mergeCell ref="A63:K63"/>
    <mergeCell ref="A64:K64"/>
    <mergeCell ref="A58:A59"/>
    <mergeCell ref="A60:C60"/>
    <mergeCell ref="G60:K60"/>
    <mergeCell ref="A61:C61"/>
    <mergeCell ref="G61:K61"/>
    <mergeCell ref="A62:K62"/>
    <mergeCell ref="A57:C57"/>
    <mergeCell ref="G57:K57"/>
    <mergeCell ref="A32:A51"/>
    <mergeCell ref="B32:B33"/>
    <mergeCell ref="B34:B35"/>
    <mergeCell ref="B37:B39"/>
    <mergeCell ref="B41:B43"/>
    <mergeCell ref="B44:B45"/>
    <mergeCell ref="B47:B48"/>
    <mergeCell ref="A52:C52"/>
    <mergeCell ref="G52:K52"/>
    <mergeCell ref="A54:C54"/>
    <mergeCell ref="G54:K54"/>
    <mergeCell ref="A55:A56"/>
    <mergeCell ref="A18:C18"/>
    <mergeCell ref="G18:K18"/>
    <mergeCell ref="G20:K20"/>
    <mergeCell ref="A21:A30"/>
    <mergeCell ref="A31:C31"/>
    <mergeCell ref="G31:K31"/>
    <mergeCell ref="A3:A17"/>
    <mergeCell ref="B5:B7"/>
    <mergeCell ref="B8:B9"/>
    <mergeCell ref="B10:B11"/>
    <mergeCell ref="B13:B14"/>
    <mergeCell ref="K1:K2"/>
    <mergeCell ref="A1:A2"/>
    <mergeCell ref="B1:B2"/>
    <mergeCell ref="C1:C2"/>
    <mergeCell ref="D1:F1"/>
    <mergeCell ref="G1:I1"/>
  </mergeCells>
  <pageMargins left="0.51181102362204722" right="0.51181102362204722" top="0.39370078740157483" bottom="0.39370078740157483" header="0.31496062992125984" footer="0.31496062992125984"/>
  <pageSetup paperSize="9" scale="55" fitToHeight="0" orientation="portrait" r:id="rId1"/>
  <rowBreaks count="1" manualBreakCount="1">
    <brk id="2" max="16383" man="1"/>
  </rowBreaks>
  <colBreaks count="1" manualBreakCount="1">
    <brk id="15" max="1048575" man="1"/>
  </colBreaks>
  <ignoredErrors>
    <ignoredError sqref="D52 D31 D2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8129-7809-4BCA-8126-10E06FF4DAE7}">
  <sheetPr>
    <pageSetUpPr fitToPage="1"/>
  </sheetPr>
  <dimension ref="A1:N39"/>
  <sheetViews>
    <sheetView showGridLines="0" zoomScaleNormal="100" workbookViewId="0">
      <selection activeCell="D12" sqref="D12"/>
    </sheetView>
  </sheetViews>
  <sheetFormatPr defaultColWidth="9.140625" defaultRowHeight="15.75" x14ac:dyDescent="0.25"/>
  <cols>
    <col min="1" max="1" width="15.5703125" style="4" customWidth="1"/>
    <col min="2" max="2" width="21.42578125" style="3" customWidth="1"/>
    <col min="3" max="3" width="6.42578125" style="1" customWidth="1"/>
    <col min="4" max="4" width="6" style="1" customWidth="1"/>
    <col min="5" max="5" width="6.42578125" style="1" customWidth="1"/>
    <col min="6" max="6" width="26.42578125" style="7" customWidth="1"/>
    <col min="7" max="7" width="0.140625" style="4" hidden="1" customWidth="1"/>
    <col min="8" max="8" width="7.42578125" style="4" customWidth="1"/>
    <col min="9" max="9" width="13.42578125" style="2" customWidth="1"/>
    <col min="10" max="10" width="18.85546875" style="2" customWidth="1"/>
    <col min="11" max="11" width="10.5703125" style="2" customWidth="1"/>
    <col min="12" max="12" width="8.5703125" style="2" customWidth="1"/>
    <col min="13" max="13" width="9.140625" style="2"/>
    <col min="14" max="14" width="9.140625" style="2" hidden="1" customWidth="1"/>
    <col min="15" max="15" width="9.140625" style="2" customWidth="1"/>
    <col min="16" max="16384" width="9.140625" style="2"/>
  </cols>
  <sheetData>
    <row r="1" spans="1:14" ht="32.450000000000003" customHeight="1" thickBot="1" x14ac:dyDescent="0.3">
      <c r="A1" s="665" t="s">
        <v>1035</v>
      </c>
      <c r="B1" s="667" t="s">
        <v>1036</v>
      </c>
      <c r="C1" s="669" t="s">
        <v>1038</v>
      </c>
      <c r="D1" s="670"/>
      <c r="E1" s="671"/>
      <c r="F1" s="593" t="s">
        <v>1329</v>
      </c>
      <c r="G1" s="627" t="s">
        <v>1316</v>
      </c>
      <c r="H1" s="628"/>
      <c r="I1" s="672"/>
      <c r="J1" s="107" t="s">
        <v>1330</v>
      </c>
      <c r="K1" s="598" t="s">
        <v>1190</v>
      </c>
    </row>
    <row r="2" spans="1:14" s="6" customFormat="1" ht="49.5" customHeight="1" x14ac:dyDescent="0.25">
      <c r="A2" s="666"/>
      <c r="B2" s="668"/>
      <c r="C2" s="108" t="s">
        <v>1040</v>
      </c>
      <c r="D2" s="109" t="s">
        <v>1041</v>
      </c>
      <c r="E2" s="108" t="s">
        <v>1042</v>
      </c>
      <c r="F2" s="617"/>
      <c r="G2" s="110" t="s">
        <v>1317</v>
      </c>
      <c r="H2" s="110" t="str">
        <f>G2</f>
        <v>VALOR *</v>
      </c>
      <c r="I2" s="34" t="e">
        <f>#REF!</f>
        <v>#REF!</v>
      </c>
      <c r="J2" s="35" t="s">
        <v>1331</v>
      </c>
      <c r="K2" s="599"/>
    </row>
    <row r="3" spans="1:14" s="25" customFormat="1" ht="19.5" customHeight="1" x14ac:dyDescent="0.25">
      <c r="A3" s="658" t="s">
        <v>1241</v>
      </c>
      <c r="B3" s="121" t="s">
        <v>1197</v>
      </c>
      <c r="C3" s="118">
        <f t="shared" ref="C3:C35" si="0">D3+E3</f>
        <v>40</v>
      </c>
      <c r="D3" s="118">
        <v>5</v>
      </c>
      <c r="E3" s="122">
        <v>35</v>
      </c>
      <c r="F3" s="37" t="s">
        <v>1332</v>
      </c>
      <c r="G3" s="119">
        <v>291.06</v>
      </c>
      <c r="H3" s="119">
        <f t="shared" ref="H3:H34" si="1">N3</f>
        <v>302.70240000000001</v>
      </c>
      <c r="I3" s="100">
        <f t="shared" ref="I3:I27" si="2">H3*60%</f>
        <v>181.62144000000001</v>
      </c>
      <c r="J3" s="100">
        <f t="shared" ref="J3:J8" si="3">H3*90%</f>
        <v>272.43216000000001</v>
      </c>
      <c r="K3" s="120" t="s">
        <v>1202</v>
      </c>
      <c r="N3" s="23">
        <f t="shared" ref="N3:N34" si="4">G3*1.04</f>
        <v>302.70240000000001</v>
      </c>
    </row>
    <row r="4" spans="1:14" s="25" customFormat="1" ht="35.1" customHeight="1" x14ac:dyDescent="0.25">
      <c r="A4" s="659"/>
      <c r="B4" s="69" t="s">
        <v>1057</v>
      </c>
      <c r="C4" s="111">
        <f t="shared" si="0"/>
        <v>45</v>
      </c>
      <c r="D4" s="111">
        <v>5</v>
      </c>
      <c r="E4" s="70">
        <v>40</v>
      </c>
      <c r="F4" s="37" t="s">
        <v>1332</v>
      </c>
      <c r="G4" s="59">
        <v>291.06</v>
      </c>
      <c r="H4" s="59">
        <f t="shared" si="1"/>
        <v>302.70240000000001</v>
      </c>
      <c r="I4" s="57">
        <f t="shared" si="2"/>
        <v>181.62144000000001</v>
      </c>
      <c r="J4" s="57">
        <f t="shared" si="3"/>
        <v>272.43216000000001</v>
      </c>
      <c r="K4" s="58" t="s">
        <v>1205</v>
      </c>
      <c r="N4" s="23">
        <f t="shared" si="4"/>
        <v>302.70240000000001</v>
      </c>
    </row>
    <row r="5" spans="1:14" s="24" customFormat="1" ht="19.5" customHeight="1" x14ac:dyDescent="0.25">
      <c r="A5" s="659"/>
      <c r="B5" s="61" t="s">
        <v>1206</v>
      </c>
      <c r="C5" s="111">
        <f t="shared" si="0"/>
        <v>40</v>
      </c>
      <c r="D5" s="111">
        <v>5</v>
      </c>
      <c r="E5" s="70">
        <v>35</v>
      </c>
      <c r="F5" s="41" t="s">
        <v>1333</v>
      </c>
      <c r="G5" s="59">
        <v>291.06</v>
      </c>
      <c r="H5" s="59">
        <f t="shared" si="1"/>
        <v>302.70240000000001</v>
      </c>
      <c r="I5" s="57">
        <f t="shared" si="2"/>
        <v>181.62144000000001</v>
      </c>
      <c r="J5" s="57">
        <f t="shared" si="3"/>
        <v>272.43216000000001</v>
      </c>
      <c r="K5" s="58" t="s">
        <v>1205</v>
      </c>
      <c r="N5" s="23">
        <f t="shared" si="4"/>
        <v>302.70240000000001</v>
      </c>
    </row>
    <row r="6" spans="1:14" s="24" customFormat="1" ht="19.5" customHeight="1" x14ac:dyDescent="0.25">
      <c r="A6" s="659"/>
      <c r="B6" s="61" t="s">
        <v>1209</v>
      </c>
      <c r="C6" s="111">
        <f t="shared" si="0"/>
        <v>40</v>
      </c>
      <c r="D6" s="111">
        <v>5</v>
      </c>
      <c r="E6" s="70">
        <v>35</v>
      </c>
      <c r="F6" s="37" t="s">
        <v>1332</v>
      </c>
      <c r="G6" s="59">
        <v>291.06</v>
      </c>
      <c r="H6" s="59">
        <f t="shared" si="1"/>
        <v>302.70240000000001</v>
      </c>
      <c r="I6" s="57">
        <f t="shared" si="2"/>
        <v>181.62144000000001</v>
      </c>
      <c r="J6" s="57">
        <f t="shared" si="3"/>
        <v>272.43216000000001</v>
      </c>
      <c r="K6" s="58" t="s">
        <v>1205</v>
      </c>
      <c r="N6" s="23">
        <f t="shared" si="4"/>
        <v>302.70240000000001</v>
      </c>
    </row>
    <row r="7" spans="1:14" s="24" customFormat="1" ht="19.5" customHeight="1" x14ac:dyDescent="0.25">
      <c r="A7" s="659"/>
      <c r="B7" s="61" t="s">
        <v>1334</v>
      </c>
      <c r="C7" s="111">
        <f t="shared" si="0"/>
        <v>40</v>
      </c>
      <c r="D7" s="111">
        <v>5</v>
      </c>
      <c r="E7" s="70">
        <v>35</v>
      </c>
      <c r="F7" s="41" t="s">
        <v>1333</v>
      </c>
      <c r="G7" s="59">
        <v>291.06</v>
      </c>
      <c r="H7" s="59">
        <f t="shared" si="1"/>
        <v>302.70240000000001</v>
      </c>
      <c r="I7" s="57">
        <f t="shared" si="2"/>
        <v>181.62144000000001</v>
      </c>
      <c r="J7" s="57">
        <f t="shared" si="3"/>
        <v>272.43216000000001</v>
      </c>
      <c r="K7" s="58" t="s">
        <v>1202</v>
      </c>
      <c r="N7" s="23">
        <f t="shared" si="4"/>
        <v>302.70240000000001</v>
      </c>
    </row>
    <row r="8" spans="1:14" s="24" customFormat="1" ht="19.5" customHeight="1" thickBot="1" x14ac:dyDescent="0.3">
      <c r="A8" s="660"/>
      <c r="B8" s="86" t="s">
        <v>1215</v>
      </c>
      <c r="C8" s="112">
        <f t="shared" si="0"/>
        <v>40</v>
      </c>
      <c r="D8" s="112">
        <v>5</v>
      </c>
      <c r="E8" s="113">
        <v>35</v>
      </c>
      <c r="F8" s="37" t="s">
        <v>1332</v>
      </c>
      <c r="G8" s="114">
        <v>291.06</v>
      </c>
      <c r="H8" s="114">
        <f t="shared" si="1"/>
        <v>302.70240000000001</v>
      </c>
      <c r="I8" s="90">
        <f t="shared" si="2"/>
        <v>181.62144000000001</v>
      </c>
      <c r="J8" s="90">
        <f t="shared" si="3"/>
        <v>272.43216000000001</v>
      </c>
      <c r="K8" s="115" t="s">
        <v>1205</v>
      </c>
      <c r="N8" s="23">
        <f t="shared" si="4"/>
        <v>302.70240000000001</v>
      </c>
    </row>
    <row r="9" spans="1:14" s="25" customFormat="1" ht="19.5" customHeight="1" thickBot="1" x14ac:dyDescent="0.3">
      <c r="A9" s="661" t="s">
        <v>1040</v>
      </c>
      <c r="B9" s="662"/>
      <c r="C9" s="117">
        <f t="shared" si="0"/>
        <v>245</v>
      </c>
      <c r="D9" s="116">
        <f>SUM(D3:D8)</f>
        <v>30</v>
      </c>
      <c r="E9" s="116">
        <f>SUM(E3:E8)</f>
        <v>215</v>
      </c>
      <c r="F9" s="663"/>
      <c r="G9" s="663"/>
      <c r="H9" s="663"/>
      <c r="I9" s="663"/>
      <c r="J9" s="663"/>
      <c r="K9" s="664"/>
    </row>
    <row r="10" spans="1:14" s="24" customFormat="1" ht="19.5" customHeight="1" x14ac:dyDescent="0.25">
      <c r="A10" s="658" t="s">
        <v>1243</v>
      </c>
      <c r="B10" s="97" t="s">
        <v>1209</v>
      </c>
      <c r="C10" s="118">
        <f t="shared" si="0"/>
        <v>40</v>
      </c>
      <c r="D10" s="122">
        <v>5</v>
      </c>
      <c r="E10" s="122">
        <v>35</v>
      </c>
      <c r="F10" s="38" t="s">
        <v>1335</v>
      </c>
      <c r="G10" s="119">
        <v>291.06</v>
      </c>
      <c r="H10" s="119">
        <f t="shared" si="1"/>
        <v>302.70240000000001</v>
      </c>
      <c r="I10" s="100">
        <f t="shared" si="2"/>
        <v>181.62144000000001</v>
      </c>
      <c r="J10" s="100">
        <f t="shared" ref="J10:J12" si="5">H10*90%</f>
        <v>272.43216000000001</v>
      </c>
      <c r="K10" s="120" t="s">
        <v>1205</v>
      </c>
      <c r="L10" s="18"/>
      <c r="N10" s="23">
        <f t="shared" si="4"/>
        <v>302.70240000000001</v>
      </c>
    </row>
    <row r="11" spans="1:14" s="24" customFormat="1" ht="35.1" customHeight="1" x14ac:dyDescent="0.25">
      <c r="A11" s="676"/>
      <c r="B11" s="124" t="s">
        <v>1336</v>
      </c>
      <c r="C11" s="118">
        <f t="shared" si="0"/>
        <v>40</v>
      </c>
      <c r="D11" s="122">
        <v>20</v>
      </c>
      <c r="E11" s="122">
        <v>20</v>
      </c>
      <c r="F11" s="39" t="s">
        <v>1337</v>
      </c>
      <c r="G11" s="119">
        <v>291.06</v>
      </c>
      <c r="H11" s="119">
        <f t="shared" si="1"/>
        <v>302.70240000000001</v>
      </c>
      <c r="I11" s="100">
        <f t="shared" si="2"/>
        <v>181.62144000000001</v>
      </c>
      <c r="J11" s="100">
        <f t="shared" si="5"/>
        <v>272.43216000000001</v>
      </c>
      <c r="K11" s="120" t="s">
        <v>1202</v>
      </c>
      <c r="L11" s="18"/>
      <c r="N11" s="23">
        <f t="shared" si="4"/>
        <v>302.70240000000001</v>
      </c>
    </row>
    <row r="12" spans="1:14" s="24" customFormat="1" ht="19.5" customHeight="1" thickBot="1" x14ac:dyDescent="0.3">
      <c r="A12" s="660"/>
      <c r="B12" s="86" t="s">
        <v>1215</v>
      </c>
      <c r="C12" s="112">
        <f t="shared" si="0"/>
        <v>40</v>
      </c>
      <c r="D12" s="113">
        <v>5</v>
      </c>
      <c r="E12" s="113">
        <v>35</v>
      </c>
      <c r="F12" s="40" t="s">
        <v>1338</v>
      </c>
      <c r="G12" s="114">
        <v>291.06</v>
      </c>
      <c r="H12" s="114">
        <f t="shared" si="1"/>
        <v>302.70240000000001</v>
      </c>
      <c r="I12" s="90">
        <f t="shared" si="2"/>
        <v>181.62144000000001</v>
      </c>
      <c r="J12" s="90">
        <f t="shared" si="5"/>
        <v>272.43216000000001</v>
      </c>
      <c r="K12" s="115" t="s">
        <v>1205</v>
      </c>
      <c r="L12" s="18"/>
      <c r="N12" s="23">
        <f t="shared" si="4"/>
        <v>302.70240000000001</v>
      </c>
    </row>
    <row r="13" spans="1:14" s="25" customFormat="1" ht="19.5" customHeight="1" thickBot="1" x14ac:dyDescent="0.3">
      <c r="A13" s="661" t="s">
        <v>1040</v>
      </c>
      <c r="B13" s="662"/>
      <c r="C13" s="117">
        <f t="shared" si="0"/>
        <v>120</v>
      </c>
      <c r="D13" s="116">
        <f>SUM(D10:D12)</f>
        <v>30</v>
      </c>
      <c r="E13" s="116">
        <f>SUM(E10:E12)</f>
        <v>90</v>
      </c>
      <c r="F13" s="663"/>
      <c r="G13" s="663"/>
      <c r="H13" s="663"/>
      <c r="I13" s="663"/>
      <c r="J13" s="663"/>
      <c r="K13" s="664"/>
    </row>
    <row r="14" spans="1:14" s="25" customFormat="1" ht="19.5" customHeight="1" x14ac:dyDescent="0.25">
      <c r="A14" s="658" t="s">
        <v>1244</v>
      </c>
      <c r="B14" s="38" t="s">
        <v>1197</v>
      </c>
      <c r="C14" s="118">
        <f t="shared" si="0"/>
        <v>50</v>
      </c>
      <c r="D14" s="122">
        <v>5</v>
      </c>
      <c r="E14" s="122">
        <v>45</v>
      </c>
      <c r="F14" s="37" t="s">
        <v>1339</v>
      </c>
      <c r="G14" s="119">
        <v>291.06</v>
      </c>
      <c r="H14" s="119">
        <f t="shared" si="1"/>
        <v>302.70240000000001</v>
      </c>
      <c r="I14" s="100">
        <f t="shared" si="2"/>
        <v>181.62144000000001</v>
      </c>
      <c r="J14" s="100">
        <f t="shared" ref="J14:J21" si="6">H14*90%</f>
        <v>272.43216000000001</v>
      </c>
      <c r="K14" s="120" t="s">
        <v>1202</v>
      </c>
      <c r="N14" s="23">
        <f t="shared" si="4"/>
        <v>302.70240000000001</v>
      </c>
    </row>
    <row r="15" spans="1:14" s="25" customFormat="1" ht="35.1" customHeight="1" x14ac:dyDescent="0.25">
      <c r="A15" s="659"/>
      <c r="B15" s="39" t="s">
        <v>1057</v>
      </c>
      <c r="C15" s="111">
        <f t="shared" si="0"/>
        <v>50</v>
      </c>
      <c r="D15" s="70">
        <v>5</v>
      </c>
      <c r="E15" s="70">
        <v>45</v>
      </c>
      <c r="F15" s="37" t="s">
        <v>1339</v>
      </c>
      <c r="G15" s="59">
        <v>291.06</v>
      </c>
      <c r="H15" s="59">
        <f t="shared" si="1"/>
        <v>302.70240000000001</v>
      </c>
      <c r="I15" s="57">
        <f t="shared" si="2"/>
        <v>181.62144000000001</v>
      </c>
      <c r="J15" s="57">
        <f t="shared" si="6"/>
        <v>272.43216000000001</v>
      </c>
      <c r="K15" s="58" t="s">
        <v>1205</v>
      </c>
      <c r="N15" s="23">
        <f t="shared" si="4"/>
        <v>302.70240000000001</v>
      </c>
    </row>
    <row r="16" spans="1:14" s="25" customFormat="1" ht="19.5" customHeight="1" x14ac:dyDescent="0.25">
      <c r="A16" s="659"/>
      <c r="B16" s="39" t="s">
        <v>1220</v>
      </c>
      <c r="C16" s="111">
        <f t="shared" si="0"/>
        <v>50</v>
      </c>
      <c r="D16" s="70">
        <v>5</v>
      </c>
      <c r="E16" s="70">
        <v>45</v>
      </c>
      <c r="F16" s="37" t="s">
        <v>1339</v>
      </c>
      <c r="G16" s="59">
        <f>G15</f>
        <v>291.06</v>
      </c>
      <c r="H16" s="59">
        <f t="shared" si="1"/>
        <v>302.70240000000001</v>
      </c>
      <c r="I16" s="57">
        <f t="shared" si="2"/>
        <v>181.62144000000001</v>
      </c>
      <c r="J16" s="57">
        <f t="shared" si="6"/>
        <v>272.43216000000001</v>
      </c>
      <c r="K16" s="58" t="s">
        <v>1205</v>
      </c>
      <c r="N16" s="23">
        <f t="shared" si="4"/>
        <v>302.70240000000001</v>
      </c>
    </row>
    <row r="17" spans="1:14" s="24" customFormat="1" ht="19.5" customHeight="1" x14ac:dyDescent="0.25">
      <c r="A17" s="659"/>
      <c r="B17" s="61" t="s">
        <v>1206</v>
      </c>
      <c r="C17" s="111">
        <f t="shared" si="0"/>
        <v>50</v>
      </c>
      <c r="D17" s="70">
        <v>5</v>
      </c>
      <c r="E17" s="70">
        <v>45</v>
      </c>
      <c r="F17" s="37" t="s">
        <v>1339</v>
      </c>
      <c r="G17" s="59">
        <v>291.06</v>
      </c>
      <c r="H17" s="59">
        <f t="shared" si="1"/>
        <v>302.70240000000001</v>
      </c>
      <c r="I17" s="57">
        <f t="shared" si="2"/>
        <v>181.62144000000001</v>
      </c>
      <c r="J17" s="57">
        <f t="shared" si="6"/>
        <v>272.43216000000001</v>
      </c>
      <c r="K17" s="58" t="s">
        <v>1205</v>
      </c>
      <c r="N17" s="23">
        <f t="shared" si="4"/>
        <v>302.70240000000001</v>
      </c>
    </row>
    <row r="18" spans="1:14" s="24" customFormat="1" ht="19.5" customHeight="1" x14ac:dyDescent="0.25">
      <c r="A18" s="659"/>
      <c r="B18" s="61" t="s">
        <v>1209</v>
      </c>
      <c r="C18" s="111">
        <f t="shared" si="0"/>
        <v>50</v>
      </c>
      <c r="D18" s="70">
        <v>5</v>
      </c>
      <c r="E18" s="70">
        <v>45</v>
      </c>
      <c r="F18" s="37" t="s">
        <v>1339</v>
      </c>
      <c r="G18" s="59">
        <v>291.06</v>
      </c>
      <c r="H18" s="59">
        <f t="shared" si="1"/>
        <v>302.70240000000001</v>
      </c>
      <c r="I18" s="57">
        <f t="shared" si="2"/>
        <v>181.62144000000001</v>
      </c>
      <c r="J18" s="57">
        <f t="shared" si="6"/>
        <v>272.43216000000001</v>
      </c>
      <c r="K18" s="58" t="s">
        <v>1205</v>
      </c>
      <c r="N18" s="23">
        <f t="shared" si="4"/>
        <v>302.70240000000001</v>
      </c>
    </row>
    <row r="19" spans="1:14" s="24" customFormat="1" ht="19.5" customHeight="1" x14ac:dyDescent="0.25">
      <c r="A19" s="659"/>
      <c r="B19" s="61" t="s">
        <v>1212</v>
      </c>
      <c r="C19" s="111">
        <f t="shared" si="0"/>
        <v>50</v>
      </c>
      <c r="D19" s="70">
        <v>5</v>
      </c>
      <c r="E19" s="70">
        <v>45</v>
      </c>
      <c r="F19" s="37" t="s">
        <v>1339</v>
      </c>
      <c r="G19" s="59">
        <v>291.06</v>
      </c>
      <c r="H19" s="59">
        <f t="shared" si="1"/>
        <v>302.70240000000001</v>
      </c>
      <c r="I19" s="57">
        <f t="shared" si="2"/>
        <v>181.62144000000001</v>
      </c>
      <c r="J19" s="57">
        <f t="shared" si="6"/>
        <v>272.43216000000001</v>
      </c>
      <c r="K19" s="58" t="s">
        <v>1202</v>
      </c>
      <c r="N19" s="23">
        <f t="shared" si="4"/>
        <v>302.70240000000001</v>
      </c>
    </row>
    <row r="20" spans="1:14" s="24" customFormat="1" ht="35.1" customHeight="1" x14ac:dyDescent="0.25">
      <c r="A20" s="660"/>
      <c r="B20" s="124" t="s">
        <v>1336</v>
      </c>
      <c r="C20" s="111">
        <f t="shared" si="0"/>
        <v>50</v>
      </c>
      <c r="D20" s="70">
        <v>5</v>
      </c>
      <c r="E20" s="70">
        <v>45</v>
      </c>
      <c r="F20" s="37" t="s">
        <v>1339</v>
      </c>
      <c r="G20" s="59">
        <v>291.06</v>
      </c>
      <c r="H20" s="59">
        <f t="shared" si="1"/>
        <v>302.70240000000001</v>
      </c>
      <c r="I20" s="57">
        <f t="shared" si="2"/>
        <v>181.62144000000001</v>
      </c>
      <c r="J20" s="57">
        <f t="shared" si="6"/>
        <v>272.43216000000001</v>
      </c>
      <c r="K20" s="58" t="s">
        <v>1202</v>
      </c>
      <c r="N20" s="23">
        <f t="shared" si="4"/>
        <v>302.70240000000001</v>
      </c>
    </row>
    <row r="21" spans="1:14" s="24" customFormat="1" ht="19.5" customHeight="1" thickBot="1" x14ac:dyDescent="0.3">
      <c r="A21" s="660"/>
      <c r="B21" s="86" t="s">
        <v>1215</v>
      </c>
      <c r="C21" s="112">
        <f t="shared" si="0"/>
        <v>50</v>
      </c>
      <c r="D21" s="113">
        <v>5</v>
      </c>
      <c r="E21" s="113">
        <v>45</v>
      </c>
      <c r="F21" s="37" t="s">
        <v>1339</v>
      </c>
      <c r="G21" s="114">
        <v>291.06</v>
      </c>
      <c r="H21" s="114">
        <f t="shared" si="1"/>
        <v>302.70240000000001</v>
      </c>
      <c r="I21" s="90">
        <f t="shared" si="2"/>
        <v>181.62144000000001</v>
      </c>
      <c r="J21" s="90">
        <f t="shared" si="6"/>
        <v>272.43216000000001</v>
      </c>
      <c r="K21" s="115" t="s">
        <v>1205</v>
      </c>
      <c r="N21" s="23">
        <f t="shared" si="4"/>
        <v>302.70240000000001</v>
      </c>
    </row>
    <row r="22" spans="1:14" s="25" customFormat="1" ht="19.5" customHeight="1" thickBot="1" x14ac:dyDescent="0.3">
      <c r="A22" s="661" t="s">
        <v>1040</v>
      </c>
      <c r="B22" s="662"/>
      <c r="C22" s="117">
        <f>D22+E22</f>
        <v>400</v>
      </c>
      <c r="D22" s="116">
        <f>SUM(D14:D21)</f>
        <v>40</v>
      </c>
      <c r="E22" s="116">
        <f>SUM(E14:E21)</f>
        <v>360</v>
      </c>
      <c r="F22" s="663"/>
      <c r="G22" s="663"/>
      <c r="H22" s="663"/>
      <c r="I22" s="663"/>
      <c r="J22" s="663"/>
      <c r="K22" s="664"/>
    </row>
    <row r="23" spans="1:14" s="25" customFormat="1" ht="35.1" customHeight="1" thickBot="1" x14ac:dyDescent="0.3">
      <c r="A23" s="123" t="s">
        <v>1340</v>
      </c>
      <c r="B23" s="124" t="s">
        <v>1336</v>
      </c>
      <c r="C23" s="125">
        <f t="shared" ref="C23" si="7">D23+E23</f>
        <v>45</v>
      </c>
      <c r="D23" s="125">
        <v>30</v>
      </c>
      <c r="E23" s="126">
        <v>15</v>
      </c>
      <c r="F23" s="43" t="s">
        <v>1335</v>
      </c>
      <c r="G23" s="127">
        <v>291.06</v>
      </c>
      <c r="H23" s="127">
        <f t="shared" si="1"/>
        <v>302.70240000000001</v>
      </c>
      <c r="I23" s="95">
        <f t="shared" si="2"/>
        <v>181.62144000000001</v>
      </c>
      <c r="J23" s="95">
        <f t="shared" ref="J23" si="8">H23*90%</f>
        <v>272.43216000000001</v>
      </c>
      <c r="K23" s="96" t="s">
        <v>1202</v>
      </c>
      <c r="N23" s="23">
        <f t="shared" si="4"/>
        <v>302.70240000000001</v>
      </c>
    </row>
    <row r="24" spans="1:14" s="25" customFormat="1" ht="19.5" customHeight="1" thickBot="1" x14ac:dyDescent="0.3">
      <c r="A24" s="661" t="s">
        <v>1040</v>
      </c>
      <c r="B24" s="662"/>
      <c r="C24" s="117">
        <f>D24+E24</f>
        <v>45</v>
      </c>
      <c r="D24" s="116">
        <f>SUM(D23)</f>
        <v>30</v>
      </c>
      <c r="E24" s="116">
        <f>SUM(E23)</f>
        <v>15</v>
      </c>
      <c r="F24" s="673"/>
      <c r="G24" s="674"/>
      <c r="H24" s="674"/>
      <c r="I24" s="674"/>
      <c r="J24" s="674"/>
      <c r="K24" s="675"/>
    </row>
    <row r="25" spans="1:14" s="25" customFormat="1" ht="19.5" customHeight="1" thickBot="1" x14ac:dyDescent="0.3">
      <c r="A25" s="123" t="s">
        <v>1245</v>
      </c>
      <c r="B25" s="124" t="s">
        <v>1215</v>
      </c>
      <c r="C25" s="125">
        <f t="shared" ref="C25" si="9">D25+E25</f>
        <v>45</v>
      </c>
      <c r="D25" s="125">
        <v>5</v>
      </c>
      <c r="E25" s="126">
        <v>40</v>
      </c>
      <c r="F25" s="43" t="s">
        <v>1337</v>
      </c>
      <c r="G25" s="127">
        <v>291.06</v>
      </c>
      <c r="H25" s="127">
        <f t="shared" si="1"/>
        <v>302.70240000000001</v>
      </c>
      <c r="I25" s="95">
        <f t="shared" si="2"/>
        <v>181.62144000000001</v>
      </c>
      <c r="J25" s="95">
        <f t="shared" ref="J25" si="10">H25*90%</f>
        <v>272.43216000000001</v>
      </c>
      <c r="K25" s="129" t="s">
        <v>1205</v>
      </c>
      <c r="N25" s="23">
        <f t="shared" si="4"/>
        <v>302.70240000000001</v>
      </c>
    </row>
    <row r="26" spans="1:14" s="25" customFormat="1" ht="19.5" customHeight="1" thickBot="1" x14ac:dyDescent="0.3">
      <c r="A26" s="661" t="s">
        <v>1040</v>
      </c>
      <c r="B26" s="662"/>
      <c r="C26" s="117">
        <f>D26+E26</f>
        <v>45</v>
      </c>
      <c r="D26" s="116">
        <f>SUM(D25)</f>
        <v>5</v>
      </c>
      <c r="E26" s="116">
        <f>SUM(E25)</f>
        <v>40</v>
      </c>
      <c r="F26" s="673"/>
      <c r="G26" s="674"/>
      <c r="H26" s="674"/>
      <c r="I26" s="674"/>
      <c r="J26" s="674"/>
      <c r="K26" s="675"/>
    </row>
    <row r="27" spans="1:14" s="25" customFormat="1" ht="35.1" customHeight="1" x14ac:dyDescent="0.25">
      <c r="A27" s="677" t="s">
        <v>1248</v>
      </c>
      <c r="B27" s="38" t="s">
        <v>1057</v>
      </c>
      <c r="C27" s="118">
        <f t="shared" si="0"/>
        <v>40</v>
      </c>
      <c r="D27" s="122">
        <v>15</v>
      </c>
      <c r="E27" s="122">
        <v>25</v>
      </c>
      <c r="F27" s="37" t="s">
        <v>1339</v>
      </c>
      <c r="G27" s="119">
        <v>291.06</v>
      </c>
      <c r="H27" s="119">
        <f t="shared" si="1"/>
        <v>302.70240000000001</v>
      </c>
      <c r="I27" s="100">
        <f t="shared" si="2"/>
        <v>181.62144000000001</v>
      </c>
      <c r="J27" s="100">
        <f t="shared" ref="J27:J29" si="11">H27*90%</f>
        <v>272.43216000000001</v>
      </c>
      <c r="K27" s="53" t="s">
        <v>1205</v>
      </c>
      <c r="N27" s="23">
        <f t="shared" si="4"/>
        <v>302.70240000000001</v>
      </c>
    </row>
    <row r="28" spans="1:14" s="25" customFormat="1" ht="35.1" customHeight="1" x14ac:dyDescent="0.25">
      <c r="A28" s="678"/>
      <c r="B28" s="37" t="s">
        <v>1336</v>
      </c>
      <c r="C28" s="111">
        <f t="shared" si="0"/>
        <v>40</v>
      </c>
      <c r="D28" s="70">
        <v>15</v>
      </c>
      <c r="E28" s="70">
        <v>25</v>
      </c>
      <c r="F28" s="39" t="s">
        <v>1341</v>
      </c>
      <c r="G28" s="59">
        <v>291.06</v>
      </c>
      <c r="H28" s="59">
        <f>N28</f>
        <v>302.70240000000001</v>
      </c>
      <c r="I28" s="57">
        <f t="shared" ref="I28:I29" si="12">H28*60%</f>
        <v>181.62144000000001</v>
      </c>
      <c r="J28" s="57">
        <f t="shared" si="11"/>
        <v>272.43216000000001</v>
      </c>
      <c r="K28" s="58" t="s">
        <v>1202</v>
      </c>
      <c r="N28" s="23">
        <f t="shared" si="4"/>
        <v>302.70240000000001</v>
      </c>
    </row>
    <row r="29" spans="1:14" s="25" customFormat="1" ht="19.5" customHeight="1" thickBot="1" x14ac:dyDescent="0.3">
      <c r="A29" s="679"/>
      <c r="B29" s="102" t="s">
        <v>1334</v>
      </c>
      <c r="C29" s="112">
        <f t="shared" si="0"/>
        <v>40</v>
      </c>
      <c r="D29" s="113">
        <v>15</v>
      </c>
      <c r="E29" s="113">
        <v>25</v>
      </c>
      <c r="F29" s="37" t="s">
        <v>1339</v>
      </c>
      <c r="G29" s="114">
        <v>291.06</v>
      </c>
      <c r="H29" s="114">
        <f t="shared" si="1"/>
        <v>302.70240000000001</v>
      </c>
      <c r="I29" s="90">
        <f t="shared" si="12"/>
        <v>181.62144000000001</v>
      </c>
      <c r="J29" s="90">
        <f t="shared" si="11"/>
        <v>272.43216000000001</v>
      </c>
      <c r="K29" s="115" t="s">
        <v>1202</v>
      </c>
      <c r="N29" s="23">
        <f t="shared" si="4"/>
        <v>302.70240000000001</v>
      </c>
    </row>
    <row r="30" spans="1:14" s="25" customFormat="1" ht="19.5" customHeight="1" thickBot="1" x14ac:dyDescent="0.3">
      <c r="A30" s="661" t="s">
        <v>1040</v>
      </c>
      <c r="B30" s="662"/>
      <c r="C30" s="117">
        <f>D30+E30</f>
        <v>120</v>
      </c>
      <c r="D30" s="116">
        <f>SUM(D27:D29)</f>
        <v>45</v>
      </c>
      <c r="E30" s="116">
        <f>SUM(E27:E29)</f>
        <v>75</v>
      </c>
      <c r="F30" s="673"/>
      <c r="G30" s="674"/>
      <c r="H30" s="674"/>
      <c r="I30" s="674"/>
      <c r="J30" s="674"/>
      <c r="K30" s="675"/>
    </row>
    <row r="31" spans="1:14" s="25" customFormat="1" ht="19.5" customHeight="1" x14ac:dyDescent="0.25">
      <c r="A31" s="658" t="s">
        <v>1250</v>
      </c>
      <c r="B31" s="121" t="s">
        <v>1206</v>
      </c>
      <c r="C31" s="118">
        <f t="shared" si="0"/>
        <v>45</v>
      </c>
      <c r="D31" s="118">
        <v>5</v>
      </c>
      <c r="E31" s="122">
        <v>40</v>
      </c>
      <c r="F31" s="39" t="s">
        <v>1337</v>
      </c>
      <c r="G31" s="119">
        <v>291.06</v>
      </c>
      <c r="H31" s="119">
        <f t="shared" si="1"/>
        <v>302.70240000000001</v>
      </c>
      <c r="I31" s="100">
        <f t="shared" ref="I31:I34" si="13">H31*60%</f>
        <v>181.62144000000001</v>
      </c>
      <c r="J31" s="100">
        <f t="shared" ref="J31:J34" si="14">H31*90%</f>
        <v>272.43216000000001</v>
      </c>
      <c r="K31" s="120" t="s">
        <v>1205</v>
      </c>
      <c r="N31" s="23">
        <f t="shared" si="4"/>
        <v>302.70240000000001</v>
      </c>
    </row>
    <row r="32" spans="1:14" s="25" customFormat="1" ht="19.5" customHeight="1" x14ac:dyDescent="0.25">
      <c r="A32" s="659"/>
      <c r="B32" s="61" t="s">
        <v>1209</v>
      </c>
      <c r="C32" s="111">
        <f t="shared" si="0"/>
        <v>45</v>
      </c>
      <c r="D32" s="111">
        <v>5</v>
      </c>
      <c r="E32" s="70">
        <v>40</v>
      </c>
      <c r="F32" s="39" t="s">
        <v>1342</v>
      </c>
      <c r="G32" s="59">
        <v>291.06</v>
      </c>
      <c r="H32" s="59">
        <f t="shared" si="1"/>
        <v>302.70240000000001</v>
      </c>
      <c r="I32" s="57">
        <f t="shared" si="13"/>
        <v>181.62144000000001</v>
      </c>
      <c r="J32" s="57">
        <f t="shared" si="14"/>
        <v>272.43216000000001</v>
      </c>
      <c r="K32" s="58" t="s">
        <v>1205</v>
      </c>
      <c r="N32" s="23">
        <f t="shared" si="4"/>
        <v>302.70240000000001</v>
      </c>
    </row>
    <row r="33" spans="1:14" s="25" customFormat="1" ht="19.5" customHeight="1" x14ac:dyDescent="0.25">
      <c r="A33" s="659"/>
      <c r="B33" s="61" t="s">
        <v>1334</v>
      </c>
      <c r="C33" s="111">
        <f t="shared" si="0"/>
        <v>45</v>
      </c>
      <c r="D33" s="111">
        <v>30</v>
      </c>
      <c r="E33" s="70">
        <v>15</v>
      </c>
      <c r="F33" s="37" t="s">
        <v>1343</v>
      </c>
      <c r="G33" s="59">
        <f>G32</f>
        <v>291.06</v>
      </c>
      <c r="H33" s="59">
        <f t="shared" si="1"/>
        <v>302.70240000000001</v>
      </c>
      <c r="I33" s="57">
        <f t="shared" si="13"/>
        <v>181.62144000000001</v>
      </c>
      <c r="J33" s="57">
        <f t="shared" si="14"/>
        <v>272.43216000000001</v>
      </c>
      <c r="K33" s="58" t="s">
        <v>1202</v>
      </c>
      <c r="N33" s="23">
        <f t="shared" si="4"/>
        <v>302.70240000000001</v>
      </c>
    </row>
    <row r="34" spans="1:14" s="25" customFormat="1" ht="19.5" customHeight="1" thickBot="1" x14ac:dyDescent="0.3">
      <c r="A34" s="680"/>
      <c r="B34" s="130" t="s">
        <v>1215</v>
      </c>
      <c r="C34" s="128">
        <f t="shared" si="0"/>
        <v>45</v>
      </c>
      <c r="D34" s="128">
        <v>5</v>
      </c>
      <c r="E34" s="71">
        <v>40</v>
      </c>
      <c r="F34" s="37" t="s">
        <v>1343</v>
      </c>
      <c r="G34" s="75">
        <v>291.06</v>
      </c>
      <c r="H34" s="75">
        <f t="shared" si="1"/>
        <v>302.70240000000001</v>
      </c>
      <c r="I34" s="66">
        <f t="shared" si="13"/>
        <v>181.62144000000001</v>
      </c>
      <c r="J34" s="66">
        <f t="shared" si="14"/>
        <v>272.43216000000001</v>
      </c>
      <c r="K34" s="67" t="s">
        <v>1205</v>
      </c>
      <c r="N34" s="23">
        <f t="shared" si="4"/>
        <v>302.70240000000001</v>
      </c>
    </row>
    <row r="35" spans="1:14" s="25" customFormat="1" ht="19.5" customHeight="1" thickBot="1" x14ac:dyDescent="0.3">
      <c r="A35" s="681" t="s">
        <v>1040</v>
      </c>
      <c r="B35" s="682"/>
      <c r="C35" s="131">
        <f t="shared" si="0"/>
        <v>180</v>
      </c>
      <c r="D35" s="132">
        <f>SUM(D31:D34)</f>
        <v>45</v>
      </c>
      <c r="E35" s="132">
        <f>SUM(E31:E34)</f>
        <v>135</v>
      </c>
      <c r="F35" s="683"/>
      <c r="G35" s="684"/>
      <c r="H35" s="684"/>
      <c r="I35" s="684"/>
      <c r="J35" s="684"/>
      <c r="K35" s="685"/>
    </row>
    <row r="36" spans="1:14" s="24" customFormat="1" ht="19.5" customHeight="1" thickBot="1" x14ac:dyDescent="0.3">
      <c r="A36" s="681" t="s">
        <v>1251</v>
      </c>
      <c r="B36" s="682"/>
      <c r="C36" s="131">
        <v>2750</v>
      </c>
      <c r="D36" s="132">
        <v>553</v>
      </c>
      <c r="E36" s="132">
        <v>2197</v>
      </c>
      <c r="F36" s="683"/>
      <c r="G36" s="684"/>
      <c r="H36" s="684"/>
      <c r="I36" s="684"/>
      <c r="J36" s="684"/>
      <c r="K36" s="685"/>
    </row>
    <row r="37" spans="1:14" ht="31.5" customHeight="1" x14ac:dyDescent="0.25">
      <c r="A37" s="595" t="s">
        <v>1252</v>
      </c>
      <c r="B37" s="595"/>
      <c r="C37" s="595"/>
      <c r="D37" s="595"/>
      <c r="E37" s="595"/>
      <c r="F37" s="595"/>
      <c r="G37" s="595"/>
      <c r="H37" s="595"/>
      <c r="I37" s="595"/>
      <c r="J37" s="595"/>
      <c r="K37" s="595"/>
    </row>
    <row r="38" spans="1:14" ht="18" customHeight="1" x14ac:dyDescent="0.25">
      <c r="A38" s="595" t="s">
        <v>1253</v>
      </c>
      <c r="B38" s="595"/>
      <c r="C38" s="595"/>
      <c r="D38" s="595"/>
      <c r="E38" s="595"/>
      <c r="F38" s="595"/>
      <c r="G38" s="595"/>
      <c r="H38" s="595"/>
      <c r="I38" s="595"/>
      <c r="J38" s="595"/>
      <c r="K38" s="595"/>
    </row>
    <row r="39" spans="1:14" ht="20.25" customHeight="1" x14ac:dyDescent="0.25">
      <c r="A39" s="595" t="s">
        <v>1254</v>
      </c>
      <c r="B39" s="595"/>
      <c r="C39" s="595"/>
      <c r="D39" s="595"/>
      <c r="E39" s="595"/>
      <c r="F39" s="595"/>
      <c r="G39" s="595"/>
      <c r="H39" s="595"/>
      <c r="I39" s="595"/>
      <c r="J39" s="595"/>
      <c r="K39" s="595"/>
    </row>
  </sheetData>
  <mergeCells count="30">
    <mergeCell ref="A38:K38"/>
    <mergeCell ref="A39:K39"/>
    <mergeCell ref="A31:A34"/>
    <mergeCell ref="A35:B35"/>
    <mergeCell ref="F35:K35"/>
    <mergeCell ref="A36:B36"/>
    <mergeCell ref="F36:K36"/>
    <mergeCell ref="A37:K37"/>
    <mergeCell ref="A30:B30"/>
    <mergeCell ref="F30:K30"/>
    <mergeCell ref="A10:A12"/>
    <mergeCell ref="A13:B13"/>
    <mergeCell ref="F13:K13"/>
    <mergeCell ref="A14:A21"/>
    <mergeCell ref="A22:B22"/>
    <mergeCell ref="F22:K22"/>
    <mergeCell ref="A24:B24"/>
    <mergeCell ref="F24:K24"/>
    <mergeCell ref="A26:B26"/>
    <mergeCell ref="F26:K26"/>
    <mergeCell ref="A27:A29"/>
    <mergeCell ref="A3:A8"/>
    <mergeCell ref="A9:B9"/>
    <mergeCell ref="F9:K9"/>
    <mergeCell ref="A1:A2"/>
    <mergeCell ref="B1:B2"/>
    <mergeCell ref="C1:E1"/>
    <mergeCell ref="F1:F2"/>
    <mergeCell ref="G1:I1"/>
    <mergeCell ref="K1:K2"/>
  </mergeCells>
  <pageMargins left="0.51181102362204722" right="0.51181102362204722" top="0.39370078740157483" bottom="0.39370078740157483" header="0.31496062992125984" footer="0.31496062992125984"/>
  <pageSetup paperSize="9" scale="63" fitToHeight="0" orientation="portrait" r:id="rId1"/>
  <colBreaks count="2" manualBreakCount="2">
    <brk id="11" max="1048575" man="1"/>
    <brk id="1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e51e0c3-8cd5-46a1-8d6e-148b6b18646d">EP2ZWFV47RJK-75704506-923</_dlc_DocId>
    <_dlc_DocIdUrl xmlns="4e51e0c3-8cd5-46a1-8d6e-148b6b18646d">
      <Url>https://sesibahia.sharepoint.com/sites/cimatecpwa/CimatecOnline/acessocimatec/_layouts/15/DocIdRedir.aspx?ID=EP2ZWFV47RJK-75704506-923</Url>
      <Description>EP2ZWFV47RJK-75704506-923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D48D7C15D49D4287135ABED2BB4094" ma:contentTypeVersion="6" ma:contentTypeDescription="Crie um novo documento." ma:contentTypeScope="" ma:versionID="632c9b5c75f12cb2e053cb00d837648e">
  <xsd:schema xmlns:xsd="http://www.w3.org/2001/XMLSchema" xmlns:xs="http://www.w3.org/2001/XMLSchema" xmlns:p="http://schemas.microsoft.com/office/2006/metadata/properties" xmlns:ns2="4e51e0c3-8cd5-46a1-8d6e-148b6b18646d" xmlns:ns3="e45200d3-48cd-4a1a-98c4-6628a7cd252f" xmlns:ns4="fa1d7348-5721-4d1c-9398-d5299b44784d" targetNamespace="http://schemas.microsoft.com/office/2006/metadata/properties" ma:root="true" ma:fieldsID="34b4cb64c3c93fc7f298b1791ea906e6" ns2:_="" ns3:_="" ns4:_="">
    <xsd:import namespace="4e51e0c3-8cd5-46a1-8d6e-148b6b18646d"/>
    <xsd:import namespace="e45200d3-48cd-4a1a-98c4-6628a7cd252f"/>
    <xsd:import namespace="fa1d7348-5721-4d1c-9398-d5299b44784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1e0c3-8cd5-46a1-8d6e-148b6b18646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de Persistência" ma:description="Manter a ID ao adicionar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200d3-48cd-4a1a-98c4-6628a7cd2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d7348-5721-4d1c-9398-d5299b447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C7A4D02-6754-4BC1-B901-F19108EF821B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e45200d3-48cd-4a1a-98c4-6628a7cd252f"/>
    <ds:schemaRef ds:uri="http://schemas.openxmlformats.org/package/2006/metadata/core-properties"/>
    <ds:schemaRef ds:uri="fa1d7348-5721-4d1c-9398-d5299b44784d"/>
    <ds:schemaRef ds:uri="4e51e0c3-8cd5-46a1-8d6e-148b6b18646d"/>
  </ds:schemaRefs>
</ds:datastoreItem>
</file>

<file path=customXml/itemProps2.xml><?xml version="1.0" encoding="utf-8"?>
<ds:datastoreItem xmlns:ds="http://schemas.openxmlformats.org/officeDocument/2006/customXml" ds:itemID="{A909097B-E9EE-4020-A61C-224C0423A3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930632-FAFB-4A37-B755-8FA1061AE4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51e0c3-8cd5-46a1-8d6e-148b6b18646d"/>
    <ds:schemaRef ds:uri="e45200d3-48cd-4a1a-98c4-6628a7cd252f"/>
    <ds:schemaRef ds:uri="fa1d7348-5721-4d1c-9398-d5299b4478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2CCCA41-874D-41CA-A0E7-3C84DC60B26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4</vt:i4>
      </vt:variant>
    </vt:vector>
  </HeadingPairs>
  <TitlesOfParts>
    <vt:vector size="16" baseType="lpstr">
      <vt:lpstr>PAGANTE</vt:lpstr>
      <vt:lpstr>BOLSISTA</vt:lpstr>
      <vt:lpstr>QUANTITATIVOS DE MATRICULAS</vt:lpstr>
      <vt:lpstr>Planilha2</vt:lpstr>
      <vt:lpstr>CAI</vt:lpstr>
      <vt:lpstr>Alunos bolsistas</vt:lpstr>
      <vt:lpstr>Anotações diversas</vt:lpstr>
      <vt:lpstr>Listas</vt:lpstr>
      <vt:lpstr>CAI-TEC - SEMIPRESENCIAL-1º MÓD</vt:lpstr>
      <vt:lpstr>PADRÃO TURMAS -20252</vt:lpstr>
      <vt:lpstr>Anexo I PRESENCIAL (2)</vt:lpstr>
      <vt:lpstr>Anexo II SEMIPRESENCIAL (2)</vt:lpstr>
      <vt:lpstr>'Anexo I PRESENCIAL (2)'!Titulos_de_impressao</vt:lpstr>
      <vt:lpstr>'Anexo II SEMIPRESENCIAL (2)'!Titulos_de_impressao</vt:lpstr>
      <vt:lpstr>'CAI-TEC - SEMIPRESENCIAL-1º MÓD'!Titulos_de_impressao</vt:lpstr>
      <vt:lpstr>'QUANTITATIVOS DE MATRICULAS'!Titulos_de_impressao</vt:lpstr>
    </vt:vector>
  </TitlesOfParts>
  <Manager/>
  <Company>Sistema FIEB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Thais Costa Macedo</dc:creator>
  <cp:keywords/>
  <dc:description/>
  <cp:lastModifiedBy>Pedro Henrique Trevisan Passos Costa</cp:lastModifiedBy>
  <cp:revision/>
  <dcterms:created xsi:type="dcterms:W3CDTF">2014-05-27T18:13:58Z</dcterms:created>
  <dcterms:modified xsi:type="dcterms:W3CDTF">2026-03-09T15:11:38Z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0x0101004BD48D7C15D49D4287135ABED2BB4094</vt:lpwstr>
  </property>
  <property fmtid="{D5CDD505-2E9C-101B-9397-08002B2CF9AE}" pid="3" name="MediaServiceImageTags">
    <vt:lpwstr/>
  </property>
  <property fmtid="{D5CDD505-2E9C-101B-9397-08002B2CF9AE}" pid="4" name="_dlc_DocIdItemGuid">
    <vt:lpwstr>e5a65165-27ca-460d-a72e-738c6fa5dd33</vt:lpwstr>
  </property>
</Properties>
</file>